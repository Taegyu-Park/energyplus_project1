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aegyu\Codes\EnergyPlus_Project1\"/>
    </mc:Choice>
  </mc:AlternateContent>
  <xr:revisionPtr revIDLastSave="0" documentId="13_ncr:1_{AE14165D-D4EA-4453-9A93-D72552E1283C}" xr6:coauthVersionLast="47" xr6:coauthVersionMax="47" xr10:uidLastSave="{00000000-0000-0000-0000-000000000000}"/>
  <bookViews>
    <workbookView xWindow="-21765" yWindow="2220" windowWidth="21570" windowHeight="19980" tabRatio="500" firstSheet="3" activeTab="8" xr2:uid="{00000000-000D-0000-FFFF-FFFF00000000}"/>
  </bookViews>
  <sheets>
    <sheet name="가정_Case1" sheetId="1" r:id="rId1"/>
    <sheet name="현금흐름_Case1" sheetId="2" r:id="rId2"/>
    <sheet name="결과_Case1" sheetId="3" r:id="rId3"/>
    <sheet name="가정_Case2" sheetId="4" r:id="rId4"/>
    <sheet name="현금흐름_Case2" sheetId="5" r:id="rId5"/>
    <sheet name="결과_Case2" sheetId="6" r:id="rId6"/>
    <sheet name="가정" sheetId="7" r:id="rId7"/>
    <sheet name="현금흐름" sheetId="8" r:id="rId8"/>
    <sheet name="결과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7" l="1"/>
  <c r="J29" i="8"/>
  <c r="H29" i="8"/>
  <c r="C29" i="8"/>
  <c r="B29" i="8"/>
  <c r="D29" i="8" s="1"/>
  <c r="J28" i="8"/>
  <c r="H28" i="8"/>
  <c r="D28" i="8"/>
  <c r="C28" i="8"/>
  <c r="B28" i="8"/>
  <c r="J27" i="8"/>
  <c r="H27" i="8"/>
  <c r="C27" i="8"/>
  <c r="D27" i="8" s="1"/>
  <c r="B27" i="8"/>
  <c r="J26" i="8"/>
  <c r="H26" i="8"/>
  <c r="D26" i="8"/>
  <c r="C26" i="8"/>
  <c r="B26" i="8"/>
  <c r="J25" i="8"/>
  <c r="H25" i="8"/>
  <c r="C25" i="8"/>
  <c r="B25" i="8"/>
  <c r="D25" i="8" s="1"/>
  <c r="J24" i="8"/>
  <c r="H24" i="8"/>
  <c r="D24" i="8"/>
  <c r="C24" i="8"/>
  <c r="B24" i="8"/>
  <c r="J23" i="8"/>
  <c r="H23" i="8"/>
  <c r="C23" i="8"/>
  <c r="D23" i="8" s="1"/>
  <c r="B23" i="8"/>
  <c r="J22" i="8"/>
  <c r="H22" i="8"/>
  <c r="C22" i="8"/>
  <c r="B22" i="8"/>
  <c r="D22" i="8" s="1"/>
  <c r="J21" i="8"/>
  <c r="H21" i="8"/>
  <c r="C21" i="8"/>
  <c r="B21" i="8"/>
  <c r="D21" i="8" s="1"/>
  <c r="J20" i="8"/>
  <c r="H20" i="8"/>
  <c r="D20" i="8"/>
  <c r="C20" i="8"/>
  <c r="B20" i="8"/>
  <c r="J19" i="8"/>
  <c r="H19" i="8"/>
  <c r="D19" i="8"/>
  <c r="C19" i="8"/>
  <c r="B19" i="8"/>
  <c r="J18" i="8"/>
  <c r="H18" i="8"/>
  <c r="C18" i="8"/>
  <c r="B18" i="8"/>
  <c r="D18" i="8" s="1"/>
  <c r="J17" i="8"/>
  <c r="H17" i="8"/>
  <c r="C17" i="8"/>
  <c r="B17" i="8"/>
  <c r="D17" i="8" s="1"/>
  <c r="J16" i="8"/>
  <c r="C16" i="8"/>
  <c r="B16" i="8"/>
  <c r="D16" i="8" s="1"/>
  <c r="J15" i="8"/>
  <c r="H15" i="8"/>
  <c r="C15" i="8"/>
  <c r="B15" i="8"/>
  <c r="D15" i="8" s="1"/>
  <c r="J14" i="8"/>
  <c r="H14" i="8"/>
  <c r="D14" i="8"/>
  <c r="C14" i="8"/>
  <c r="B14" i="8"/>
  <c r="J13" i="8"/>
  <c r="H13" i="8"/>
  <c r="C13" i="8"/>
  <c r="D13" i="8" s="1"/>
  <c r="B13" i="8"/>
  <c r="J12" i="8"/>
  <c r="H12" i="8"/>
  <c r="C12" i="8"/>
  <c r="B12" i="8"/>
  <c r="D12" i="8" s="1"/>
  <c r="J11" i="8"/>
  <c r="H11" i="8"/>
  <c r="C11" i="8"/>
  <c r="B11" i="8"/>
  <c r="D11" i="8" s="1"/>
  <c r="J10" i="8"/>
  <c r="H10" i="8"/>
  <c r="C10" i="8"/>
  <c r="B10" i="8"/>
  <c r="D10" i="8" s="1"/>
  <c r="J9" i="8"/>
  <c r="H9" i="8"/>
  <c r="C9" i="8"/>
  <c r="D9" i="8" s="1"/>
  <c r="B9" i="8"/>
  <c r="J8" i="8"/>
  <c r="H8" i="8"/>
  <c r="C8" i="8"/>
  <c r="B8" i="8"/>
  <c r="D8" i="8" s="1"/>
  <c r="J7" i="8"/>
  <c r="H7" i="8"/>
  <c r="C7" i="8"/>
  <c r="D7" i="8" s="1"/>
  <c r="B7" i="8"/>
  <c r="J6" i="8"/>
  <c r="H6" i="8"/>
  <c r="C6" i="8"/>
  <c r="D6" i="8" s="1"/>
  <c r="B6" i="8"/>
  <c r="J5" i="8"/>
  <c r="H5" i="8"/>
  <c r="C5" i="8"/>
  <c r="B5" i="8"/>
  <c r="D5" i="8" s="1"/>
  <c r="D37" i="7"/>
  <c r="C36" i="7"/>
  <c r="C35" i="7"/>
  <c r="C37" i="7" s="1"/>
  <c r="B9" i="7" s="1"/>
  <c r="C34" i="7"/>
  <c r="B29" i="7"/>
  <c r="H16" i="8" s="1"/>
  <c r="B23" i="7"/>
  <c r="B22" i="7"/>
  <c r="B21" i="7"/>
  <c r="B20" i="7"/>
  <c r="B19" i="7"/>
  <c r="B18" i="7"/>
  <c r="B17" i="7"/>
  <c r="B16" i="7"/>
  <c r="J29" i="5"/>
  <c r="H29" i="5"/>
  <c r="D29" i="5"/>
  <c r="C29" i="5"/>
  <c r="B29" i="5"/>
  <c r="J28" i="5"/>
  <c r="H28" i="5"/>
  <c r="C28" i="5"/>
  <c r="B28" i="5"/>
  <c r="D28" i="5" s="1"/>
  <c r="J27" i="5"/>
  <c r="H27" i="5"/>
  <c r="C27" i="5"/>
  <c r="B27" i="5"/>
  <c r="D27" i="5" s="1"/>
  <c r="J26" i="5"/>
  <c r="H26" i="5"/>
  <c r="C26" i="5"/>
  <c r="B26" i="5"/>
  <c r="D26" i="5" s="1"/>
  <c r="J25" i="5"/>
  <c r="H25" i="5"/>
  <c r="D25" i="5"/>
  <c r="C25" i="5"/>
  <c r="B25" i="5"/>
  <c r="J24" i="5"/>
  <c r="H24" i="5"/>
  <c r="C24" i="5"/>
  <c r="B24" i="5"/>
  <c r="D24" i="5" s="1"/>
  <c r="J23" i="5"/>
  <c r="H23" i="5"/>
  <c r="C23" i="5"/>
  <c r="B23" i="5"/>
  <c r="D23" i="5" s="1"/>
  <c r="J22" i="5"/>
  <c r="H22" i="5"/>
  <c r="C22" i="5"/>
  <c r="D22" i="5" s="1"/>
  <c r="B22" i="5"/>
  <c r="J21" i="5"/>
  <c r="H21" i="5"/>
  <c r="C21" i="5"/>
  <c r="B21" i="5"/>
  <c r="D21" i="5" s="1"/>
  <c r="J20" i="5"/>
  <c r="H20" i="5"/>
  <c r="C20" i="5"/>
  <c r="B20" i="5"/>
  <c r="D20" i="5" s="1"/>
  <c r="J19" i="5"/>
  <c r="H19" i="5"/>
  <c r="D19" i="5"/>
  <c r="C19" i="5"/>
  <c r="B19" i="5"/>
  <c r="J18" i="5"/>
  <c r="H18" i="5"/>
  <c r="D18" i="5"/>
  <c r="C18" i="5"/>
  <c r="B18" i="5"/>
  <c r="J17" i="5"/>
  <c r="H17" i="5"/>
  <c r="C17" i="5"/>
  <c r="B17" i="5"/>
  <c r="D17" i="5" s="1"/>
  <c r="J16" i="5"/>
  <c r="H16" i="5"/>
  <c r="C16" i="5"/>
  <c r="B16" i="5"/>
  <c r="D16" i="5" s="1"/>
  <c r="J15" i="5"/>
  <c r="H15" i="5"/>
  <c r="C15" i="5"/>
  <c r="B15" i="5"/>
  <c r="D15" i="5" s="1"/>
  <c r="J14" i="5"/>
  <c r="H14" i="5"/>
  <c r="C14" i="5"/>
  <c r="B14" i="5"/>
  <c r="D14" i="5" s="1"/>
  <c r="J13" i="5"/>
  <c r="H13" i="5"/>
  <c r="D13" i="5"/>
  <c r="C13" i="5"/>
  <c r="B13" i="5"/>
  <c r="J12" i="5"/>
  <c r="H12" i="5"/>
  <c r="C12" i="5"/>
  <c r="D12" i="5" s="1"/>
  <c r="B12" i="5"/>
  <c r="J11" i="5"/>
  <c r="H11" i="5"/>
  <c r="C11" i="5"/>
  <c r="B11" i="5"/>
  <c r="D11" i="5" s="1"/>
  <c r="J10" i="5"/>
  <c r="H10" i="5"/>
  <c r="C10" i="5"/>
  <c r="D10" i="5" s="1"/>
  <c r="B10" i="5"/>
  <c r="J9" i="5"/>
  <c r="H9" i="5"/>
  <c r="C9" i="5"/>
  <c r="B9" i="5"/>
  <c r="D9" i="5" s="1"/>
  <c r="J8" i="5"/>
  <c r="H8" i="5"/>
  <c r="C8" i="5"/>
  <c r="B8" i="5"/>
  <c r="D8" i="5" s="1"/>
  <c r="J7" i="5"/>
  <c r="H7" i="5"/>
  <c r="C7" i="5"/>
  <c r="B7" i="5"/>
  <c r="D7" i="5" s="1"/>
  <c r="J6" i="5"/>
  <c r="H6" i="5"/>
  <c r="C6" i="5"/>
  <c r="D6" i="5" s="1"/>
  <c r="B6" i="5"/>
  <c r="J5" i="5"/>
  <c r="H5" i="5"/>
  <c r="D5" i="5"/>
  <c r="C5" i="5"/>
  <c r="B5" i="5"/>
  <c r="D37" i="4"/>
  <c r="C36" i="4"/>
  <c r="C35" i="4"/>
  <c r="C34" i="4"/>
  <c r="C37" i="4" s="1"/>
  <c r="B9" i="4" s="1"/>
  <c r="E14" i="5" s="1"/>
  <c r="B23" i="4"/>
  <c r="I4" i="5" s="1"/>
  <c r="B22" i="4"/>
  <c r="B20" i="4"/>
  <c r="B18" i="4"/>
  <c r="B15" i="4"/>
  <c r="J29" i="2"/>
  <c r="H29" i="2"/>
  <c r="D29" i="2"/>
  <c r="C29" i="2"/>
  <c r="B29" i="2"/>
  <c r="J28" i="2"/>
  <c r="H28" i="2"/>
  <c r="C28" i="2"/>
  <c r="B28" i="2"/>
  <c r="D28" i="2" s="1"/>
  <c r="J27" i="2"/>
  <c r="H27" i="2"/>
  <c r="C27" i="2"/>
  <c r="B27" i="2"/>
  <c r="D27" i="2" s="1"/>
  <c r="J26" i="2"/>
  <c r="H26" i="2"/>
  <c r="C26" i="2"/>
  <c r="D26" i="2" s="1"/>
  <c r="B26" i="2"/>
  <c r="J25" i="2"/>
  <c r="H25" i="2"/>
  <c r="C25" i="2"/>
  <c r="B25" i="2"/>
  <c r="D25" i="2" s="1"/>
  <c r="J24" i="2"/>
  <c r="H24" i="2"/>
  <c r="C24" i="2"/>
  <c r="B24" i="2"/>
  <c r="D24" i="2" s="1"/>
  <c r="J23" i="2"/>
  <c r="H23" i="2"/>
  <c r="C23" i="2"/>
  <c r="B23" i="2"/>
  <c r="D23" i="2" s="1"/>
  <c r="J22" i="2"/>
  <c r="H22" i="2"/>
  <c r="C22" i="2"/>
  <c r="D22" i="2" s="1"/>
  <c r="B22" i="2"/>
  <c r="J21" i="2"/>
  <c r="H21" i="2"/>
  <c r="D21" i="2"/>
  <c r="C21" i="2"/>
  <c r="B21" i="2"/>
  <c r="J20" i="2"/>
  <c r="H20" i="2"/>
  <c r="C20" i="2"/>
  <c r="B20" i="2"/>
  <c r="D20" i="2" s="1"/>
  <c r="J19" i="2"/>
  <c r="H19" i="2"/>
  <c r="D19" i="2"/>
  <c r="C19" i="2"/>
  <c r="B19" i="2"/>
  <c r="J18" i="2"/>
  <c r="H18" i="2"/>
  <c r="C18" i="2"/>
  <c r="B18" i="2"/>
  <c r="D18" i="2" s="1"/>
  <c r="J17" i="2"/>
  <c r="H17" i="2"/>
  <c r="C17" i="2"/>
  <c r="B17" i="2"/>
  <c r="D17" i="2" s="1"/>
  <c r="J16" i="2"/>
  <c r="H16" i="2"/>
  <c r="C16" i="2"/>
  <c r="D16" i="2" s="1"/>
  <c r="B16" i="2"/>
  <c r="J15" i="2"/>
  <c r="H15" i="2"/>
  <c r="C15" i="2"/>
  <c r="B15" i="2"/>
  <c r="D15" i="2" s="1"/>
  <c r="J14" i="2"/>
  <c r="H14" i="2"/>
  <c r="C14" i="2"/>
  <c r="B14" i="2"/>
  <c r="D14" i="2" s="1"/>
  <c r="J13" i="2"/>
  <c r="H13" i="2"/>
  <c r="C13" i="2"/>
  <c r="B13" i="2"/>
  <c r="D13" i="2" s="1"/>
  <c r="J12" i="2"/>
  <c r="H12" i="2"/>
  <c r="C12" i="2"/>
  <c r="B12" i="2"/>
  <c r="D12" i="2" s="1"/>
  <c r="J11" i="2"/>
  <c r="H11" i="2"/>
  <c r="D11" i="2"/>
  <c r="C11" i="2"/>
  <c r="B11" i="2"/>
  <c r="J10" i="2"/>
  <c r="H10" i="2"/>
  <c r="D10" i="2"/>
  <c r="C10" i="2"/>
  <c r="B10" i="2"/>
  <c r="J9" i="2"/>
  <c r="H9" i="2"/>
  <c r="C9" i="2"/>
  <c r="B9" i="2"/>
  <c r="D9" i="2" s="1"/>
  <c r="J8" i="2"/>
  <c r="H8" i="2"/>
  <c r="C8" i="2"/>
  <c r="B8" i="2"/>
  <c r="D8" i="2" s="1"/>
  <c r="J7" i="2"/>
  <c r="H7" i="2"/>
  <c r="C7" i="2"/>
  <c r="B7" i="2"/>
  <c r="D7" i="2" s="1"/>
  <c r="J6" i="2"/>
  <c r="H6" i="2"/>
  <c r="C6" i="2"/>
  <c r="D6" i="2" s="1"/>
  <c r="B6" i="2"/>
  <c r="J5" i="2"/>
  <c r="H5" i="2"/>
  <c r="D5" i="2"/>
  <c r="C5" i="2"/>
  <c r="B5" i="2"/>
  <c r="D37" i="1"/>
  <c r="C36" i="1"/>
  <c r="C35" i="1"/>
  <c r="C34" i="1"/>
  <c r="C37" i="1" s="1"/>
  <c r="B9" i="1" s="1"/>
  <c r="B23" i="1"/>
  <c r="E21" i="2" l="1"/>
  <c r="F21" i="2" s="1"/>
  <c r="E10" i="2"/>
  <c r="F10" i="2" s="1"/>
  <c r="E23" i="2"/>
  <c r="F23" i="2" s="1"/>
  <c r="E24" i="2"/>
  <c r="E12" i="2"/>
  <c r="E25" i="2"/>
  <c r="E14" i="2"/>
  <c r="E27" i="2"/>
  <c r="E16" i="2"/>
  <c r="E29" i="2"/>
  <c r="E5" i="2"/>
  <c r="E18" i="2"/>
  <c r="E15" i="2"/>
  <c r="F15" i="2" s="1"/>
  <c r="E7" i="2"/>
  <c r="F7" i="2" s="1"/>
  <c r="E20" i="2"/>
  <c r="F20" i="2" s="1"/>
  <c r="E22" i="2"/>
  <c r="F22" i="2" s="1"/>
  <c r="E11" i="2"/>
  <c r="F11" i="2" s="1"/>
  <c r="E28" i="2"/>
  <c r="F28" i="2" s="1"/>
  <c r="E9" i="2"/>
  <c r="F9" i="2" s="1"/>
  <c r="E13" i="2"/>
  <c r="F13" i="2" s="1"/>
  <c r="E26" i="2"/>
  <c r="E17" i="2"/>
  <c r="E6" i="2"/>
  <c r="F6" i="2" s="1"/>
  <c r="E19" i="2"/>
  <c r="F19" i="2" s="1"/>
  <c r="E8" i="2"/>
  <c r="F8" i="2" s="1"/>
  <c r="F17" i="2"/>
  <c r="F19" i="8"/>
  <c r="F8" i="8"/>
  <c r="F16" i="2"/>
  <c r="K4" i="5"/>
  <c r="F25" i="5"/>
  <c r="F14" i="8"/>
  <c r="F20" i="8"/>
  <c r="F15" i="5"/>
  <c r="F26" i="2"/>
  <c r="F26" i="5"/>
  <c r="F16" i="5"/>
  <c r="F21" i="8"/>
  <c r="F17" i="5"/>
  <c r="F14" i="5"/>
  <c r="E27" i="5"/>
  <c r="F27" i="5" s="1"/>
  <c r="E16" i="5"/>
  <c r="E29" i="5"/>
  <c r="F29" i="5" s="1"/>
  <c r="E5" i="5"/>
  <c r="F5" i="5" s="1"/>
  <c r="E18" i="5"/>
  <c r="E7" i="5"/>
  <c r="F7" i="5" s="1"/>
  <c r="E20" i="5"/>
  <c r="F20" i="5" s="1"/>
  <c r="E11" i="5"/>
  <c r="F11" i="5" s="1"/>
  <c r="E9" i="5"/>
  <c r="F9" i="5" s="1"/>
  <c r="E26" i="5"/>
  <c r="E23" i="5"/>
  <c r="E22" i="5"/>
  <c r="F22" i="5" s="1"/>
  <c r="E24" i="5"/>
  <c r="F24" i="5" s="1"/>
  <c r="E8" i="5"/>
  <c r="F8" i="5" s="1"/>
  <c r="E13" i="5"/>
  <c r="F13" i="5" s="1"/>
  <c r="E15" i="5"/>
  <c r="E28" i="5"/>
  <c r="E19" i="5"/>
  <c r="E17" i="5"/>
  <c r="E6" i="5"/>
  <c r="E21" i="5"/>
  <c r="E10" i="5"/>
  <c r="F10" i="5" s="1"/>
  <c r="E12" i="5"/>
  <c r="E25" i="5"/>
  <c r="F12" i="2"/>
  <c r="F10" i="8"/>
  <c r="F5" i="2"/>
  <c r="F16" i="8"/>
  <c r="B4" i="3"/>
  <c r="I4" i="2"/>
  <c r="B27" i="1"/>
  <c r="E28" i="8"/>
  <c r="F28" i="8" s="1"/>
  <c r="E17" i="8"/>
  <c r="F17" i="8" s="1"/>
  <c r="E6" i="8"/>
  <c r="F6" i="8" s="1"/>
  <c r="E19" i="8"/>
  <c r="E8" i="8"/>
  <c r="E21" i="8"/>
  <c r="E10" i="8"/>
  <c r="E12" i="8"/>
  <c r="E13" i="8"/>
  <c r="F13" i="8" s="1"/>
  <c r="E23" i="8"/>
  <c r="F23" i="8" s="1"/>
  <c r="E25" i="8"/>
  <c r="F25" i="8" s="1"/>
  <c r="E27" i="8"/>
  <c r="F27" i="8" s="1"/>
  <c r="E14" i="8"/>
  <c r="E16" i="8"/>
  <c r="E5" i="8"/>
  <c r="F5" i="8" s="1"/>
  <c r="E9" i="8"/>
  <c r="F9" i="8" s="1"/>
  <c r="E29" i="8"/>
  <c r="F29" i="8" s="1"/>
  <c r="E18" i="8"/>
  <c r="E20" i="8"/>
  <c r="E7" i="8"/>
  <c r="F7" i="8" s="1"/>
  <c r="E22" i="8"/>
  <c r="F22" i="8" s="1"/>
  <c r="E11" i="8"/>
  <c r="F11" i="8" s="1"/>
  <c r="E24" i="8"/>
  <c r="F24" i="8" s="1"/>
  <c r="E26" i="8"/>
  <c r="F26" i="8" s="1"/>
  <c r="E15" i="8"/>
  <c r="F15" i="8" s="1"/>
  <c r="F12" i="5"/>
  <c r="F27" i="2"/>
  <c r="F19" i="5"/>
  <c r="F6" i="5"/>
  <c r="F28" i="5"/>
  <c r="F21" i="5"/>
  <c r="F18" i="2"/>
  <c r="F14" i="2"/>
  <c r="F23" i="5"/>
  <c r="F24" i="2"/>
  <c r="F12" i="8"/>
  <c r="F18" i="8"/>
  <c r="F29" i="2"/>
  <c r="F18" i="5"/>
  <c r="F25" i="2"/>
  <c r="I4" i="8"/>
  <c r="B4" i="6"/>
  <c r="B27" i="4"/>
  <c r="B4" i="9"/>
  <c r="B27" i="7"/>
  <c r="I22" i="8" l="1"/>
  <c r="K22" i="8" s="1"/>
  <c r="I13" i="2"/>
  <c r="K13" i="2" s="1"/>
  <c r="I5" i="5"/>
  <c r="I22" i="2"/>
  <c r="K22" i="2" s="1"/>
  <c r="I8" i="5"/>
  <c r="K8" i="5" s="1"/>
  <c r="I24" i="5"/>
  <c r="K24" i="5" s="1"/>
  <c r="I22" i="5"/>
  <c r="K22" i="5" s="1"/>
  <c r="I23" i="2"/>
  <c r="K23" i="2" s="1"/>
  <c r="I7" i="5"/>
  <c r="K7" i="5" s="1"/>
  <c r="I9" i="5"/>
  <c r="K9" i="5" s="1"/>
  <c r="I18" i="5"/>
  <c r="K18" i="5" s="1"/>
  <c r="I12" i="5"/>
  <c r="K12" i="5" s="1"/>
  <c r="I27" i="2"/>
  <c r="K27" i="2" s="1"/>
  <c r="I25" i="5"/>
  <c r="K25" i="5" s="1"/>
  <c r="I26" i="5"/>
  <c r="K26" i="5" s="1"/>
  <c r="L4" i="5"/>
  <c r="I14" i="2"/>
  <c r="K14" i="2" s="1"/>
  <c r="G29" i="5"/>
  <c r="I29" i="5" s="1"/>
  <c r="K29" i="5" s="1"/>
  <c r="G5" i="5"/>
  <c r="G18" i="5"/>
  <c r="G7" i="5"/>
  <c r="G20" i="5"/>
  <c r="I20" i="5" s="1"/>
  <c r="K20" i="5" s="1"/>
  <c r="G9" i="5"/>
  <c r="G22" i="5"/>
  <c r="G26" i="5"/>
  <c r="G11" i="5"/>
  <c r="I11" i="5" s="1"/>
  <c r="K11" i="5" s="1"/>
  <c r="G13" i="5"/>
  <c r="I13" i="5" s="1"/>
  <c r="K13" i="5" s="1"/>
  <c r="G24" i="5"/>
  <c r="G28" i="5"/>
  <c r="I28" i="5" s="1"/>
  <c r="K28" i="5" s="1"/>
  <c r="G15" i="5"/>
  <c r="I15" i="5" s="1"/>
  <c r="K15" i="5" s="1"/>
  <c r="G17" i="5"/>
  <c r="I17" i="5" s="1"/>
  <c r="K17" i="5" s="1"/>
  <c r="G6" i="5"/>
  <c r="I6" i="5" s="1"/>
  <c r="K6" i="5" s="1"/>
  <c r="G21" i="5"/>
  <c r="I21" i="5" s="1"/>
  <c r="K21" i="5" s="1"/>
  <c r="G10" i="5"/>
  <c r="I10" i="5" s="1"/>
  <c r="K10" i="5" s="1"/>
  <c r="G14" i="5"/>
  <c r="G19" i="5"/>
  <c r="G8" i="5"/>
  <c r="G23" i="5"/>
  <c r="G12" i="5"/>
  <c r="G25" i="5"/>
  <c r="G27" i="5"/>
  <c r="I27" i="5" s="1"/>
  <c r="K27" i="5" s="1"/>
  <c r="G16" i="5"/>
  <c r="G6" i="8"/>
  <c r="I6" i="8" s="1"/>
  <c r="K6" i="8" s="1"/>
  <c r="G19" i="8"/>
  <c r="G8" i="8"/>
  <c r="I8" i="8" s="1"/>
  <c r="K8" i="8" s="1"/>
  <c r="G21" i="8"/>
  <c r="I21" i="8" s="1"/>
  <c r="K21" i="8" s="1"/>
  <c r="G10" i="8"/>
  <c r="G23" i="8"/>
  <c r="I23" i="8" s="1"/>
  <c r="K23" i="8" s="1"/>
  <c r="G14" i="8"/>
  <c r="I14" i="8" s="1"/>
  <c r="K14" i="8" s="1"/>
  <c r="G27" i="8"/>
  <c r="I27" i="8" s="1"/>
  <c r="K27" i="8" s="1"/>
  <c r="G12" i="8"/>
  <c r="I12" i="8" s="1"/>
  <c r="K12" i="8" s="1"/>
  <c r="G11" i="8"/>
  <c r="I11" i="8" s="1"/>
  <c r="K11" i="8" s="1"/>
  <c r="G25" i="8"/>
  <c r="I25" i="8" s="1"/>
  <c r="K25" i="8" s="1"/>
  <c r="G5" i="8"/>
  <c r="I5" i="8" s="1"/>
  <c r="G15" i="8"/>
  <c r="I15" i="8" s="1"/>
  <c r="K15" i="8" s="1"/>
  <c r="G16" i="8"/>
  <c r="I16" i="8" s="1"/>
  <c r="K16" i="8" s="1"/>
  <c r="G29" i="8"/>
  <c r="I29" i="8" s="1"/>
  <c r="K29" i="8" s="1"/>
  <c r="G18" i="8"/>
  <c r="G7" i="8"/>
  <c r="I7" i="8" s="1"/>
  <c r="K7" i="8" s="1"/>
  <c r="G22" i="8"/>
  <c r="G20" i="8"/>
  <c r="I20" i="8" s="1"/>
  <c r="K20" i="8" s="1"/>
  <c r="G9" i="8"/>
  <c r="I9" i="8" s="1"/>
  <c r="K9" i="8" s="1"/>
  <c r="G24" i="8"/>
  <c r="I24" i="8" s="1"/>
  <c r="K24" i="8" s="1"/>
  <c r="G13" i="8"/>
  <c r="I13" i="8" s="1"/>
  <c r="K13" i="8" s="1"/>
  <c r="G26" i="8"/>
  <c r="I26" i="8" s="1"/>
  <c r="K26" i="8" s="1"/>
  <c r="G28" i="8"/>
  <c r="I28" i="8" s="1"/>
  <c r="K28" i="8" s="1"/>
  <c r="G17" i="8"/>
  <c r="I17" i="8" s="1"/>
  <c r="K17" i="8" s="1"/>
  <c r="K4" i="8"/>
  <c r="I19" i="8"/>
  <c r="K19" i="8" s="1"/>
  <c r="K4" i="2"/>
  <c r="I18" i="2"/>
  <c r="K18" i="2" s="1"/>
  <c r="I10" i="8"/>
  <c r="K10" i="8" s="1"/>
  <c r="I17" i="2"/>
  <c r="K17" i="2" s="1"/>
  <c r="I5" i="2"/>
  <c r="K5" i="2" s="1"/>
  <c r="I14" i="5"/>
  <c r="K14" i="5" s="1"/>
  <c r="I25" i="2"/>
  <c r="K25" i="2" s="1"/>
  <c r="G23" i="2"/>
  <c r="G12" i="2"/>
  <c r="G25" i="2"/>
  <c r="G14" i="2"/>
  <c r="G29" i="2"/>
  <c r="I29" i="2" s="1"/>
  <c r="K29" i="2" s="1"/>
  <c r="G27" i="2"/>
  <c r="G18" i="2"/>
  <c r="G16" i="2"/>
  <c r="I16" i="2" s="1"/>
  <c r="K16" i="2" s="1"/>
  <c r="G5" i="2"/>
  <c r="G7" i="2"/>
  <c r="I7" i="2" s="1"/>
  <c r="K7" i="2" s="1"/>
  <c r="G20" i="2"/>
  <c r="I20" i="2" s="1"/>
  <c r="K20" i="2" s="1"/>
  <c r="G13" i="2"/>
  <c r="G17" i="2"/>
  <c r="G9" i="2"/>
  <c r="I9" i="2" s="1"/>
  <c r="K9" i="2" s="1"/>
  <c r="G22" i="2"/>
  <c r="G11" i="2"/>
  <c r="I11" i="2" s="1"/>
  <c r="K11" i="2" s="1"/>
  <c r="G26" i="2"/>
  <c r="I26" i="2" s="1"/>
  <c r="K26" i="2" s="1"/>
  <c r="G24" i="2"/>
  <c r="I24" i="2" s="1"/>
  <c r="K24" i="2" s="1"/>
  <c r="G15" i="2"/>
  <c r="I15" i="2" s="1"/>
  <c r="K15" i="2" s="1"/>
  <c r="G28" i="2"/>
  <c r="I28" i="2" s="1"/>
  <c r="K28" i="2" s="1"/>
  <c r="G19" i="2"/>
  <c r="I19" i="2" s="1"/>
  <c r="K19" i="2" s="1"/>
  <c r="G10" i="2"/>
  <c r="I10" i="2" s="1"/>
  <c r="K10" i="2" s="1"/>
  <c r="G8" i="2"/>
  <c r="I8" i="2" s="1"/>
  <c r="K8" i="2" s="1"/>
  <c r="G6" i="2"/>
  <c r="I6" i="2" s="1"/>
  <c r="K6" i="2" s="1"/>
  <c r="G21" i="2"/>
  <c r="I21" i="2" s="1"/>
  <c r="K21" i="2" s="1"/>
  <c r="I12" i="2"/>
  <c r="K12" i="2" s="1"/>
  <c r="I23" i="5"/>
  <c r="K23" i="5" s="1"/>
  <c r="I19" i="5"/>
  <c r="K19" i="5" s="1"/>
  <c r="I16" i="5"/>
  <c r="K16" i="5" s="1"/>
  <c r="I18" i="8"/>
  <c r="K18" i="8" s="1"/>
  <c r="K5" i="8" l="1"/>
  <c r="B6" i="9"/>
  <c r="B5" i="3"/>
  <c r="B10" i="3" s="1"/>
  <c r="L4" i="2"/>
  <c r="B6" i="3"/>
  <c r="K5" i="5"/>
  <c r="B5" i="6" s="1"/>
  <c r="B10" i="6" s="1"/>
  <c r="B6" i="6"/>
  <c r="B5" i="9"/>
  <c r="B10" i="9" s="1"/>
  <c r="L4" i="8"/>
  <c r="B7" i="3"/>
  <c r="B7" i="9"/>
  <c r="B7" i="6"/>
  <c r="L5" i="2" l="1"/>
  <c r="L6" i="2" s="1"/>
  <c r="L7" i="2" s="1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5" i="5"/>
  <c r="L5" i="8"/>
  <c r="L6" i="8" s="1"/>
  <c r="L7" i="8" s="1"/>
  <c r="L8" i="8" s="1"/>
  <c r="L9" i="8" s="1"/>
  <c r="L10" i="8" s="1"/>
  <c r="L11" i="8" s="1"/>
  <c r="L12" i="8" s="1"/>
  <c r="L13" i="8" s="1"/>
  <c r="L14" i="8" s="1"/>
  <c r="L15" i="8" s="1"/>
  <c r="L16" i="8" s="1"/>
  <c r="L17" i="8" s="1"/>
  <c r="L18" i="8" s="1"/>
  <c r="L19" i="8" s="1"/>
  <c r="L20" i="8" s="1"/>
  <c r="L21" i="8" s="1"/>
  <c r="L22" i="8" s="1"/>
  <c r="L23" i="8" s="1"/>
  <c r="L24" i="8" s="1"/>
  <c r="L25" i="8" s="1"/>
  <c r="L26" i="8" s="1"/>
  <c r="L27" i="8" s="1"/>
  <c r="L28" i="8" s="1"/>
  <c r="L29" i="8" s="1"/>
  <c r="L6" i="5" l="1"/>
  <c r="L7" i="5" s="1"/>
  <c r="L8" i="5" s="1"/>
  <c r="L9" i="5" s="1"/>
  <c r="L10" i="5" s="1"/>
  <c r="L11" i="5" s="1"/>
  <c r="L12" i="5" s="1"/>
  <c r="L13" i="5" s="1"/>
  <c r="L14" i="5" s="1"/>
  <c r="L15" i="5" s="1"/>
  <c r="L16" i="5" s="1"/>
  <c r="L17" i="5" s="1"/>
  <c r="L18" i="5" s="1"/>
  <c r="L19" i="5" s="1"/>
  <c r="L20" i="5" s="1"/>
  <c r="L21" i="5" s="1"/>
  <c r="L22" i="5" s="1"/>
  <c r="L23" i="5" s="1"/>
  <c r="L24" i="5" s="1"/>
  <c r="L25" i="5" s="1"/>
  <c r="L26" i="5" s="1"/>
  <c r="L27" i="5" s="1"/>
  <c r="L28" i="5" s="1"/>
  <c r="L29" i="5" s="1"/>
  <c r="B8" i="9"/>
  <c r="B8" i="3"/>
  <c r="B8" i="6" l="1"/>
</calcChain>
</file>

<file path=xl/sharedStrings.xml><?xml version="1.0" encoding="utf-8"?>
<sst xmlns="http://schemas.openxmlformats.org/spreadsheetml/2006/main" count="399" uniqueCount="127">
  <si>
    <t>Base 모델 (BIPV 미설치, 투자 없음) — 가정 및 근거</t>
  </si>
  <si>
    <t>항목</t>
  </si>
  <si>
    <t>값</t>
  </si>
  <si>
    <t>단위</t>
  </si>
  <si>
    <t>근거 / 출처</t>
  </si>
  <si>
    <t>— 발전 및 경제 가정 —</t>
  </si>
  <si>
    <t>연간 발전량 (1년차, gross)</t>
  </si>
  <si>
    <t>kWh/년</t>
  </si>
  <si>
    <t>없음 — BIPV 미설치 기준선 케이스</t>
  </si>
  <si>
    <t>키네틱 구동 소비전력</t>
  </si>
  <si>
    <t>해당 없음</t>
  </si>
  <si>
    <t>패널 열화율</t>
  </si>
  <si>
    <t>%/년</t>
  </si>
  <si>
    <t>NREL: 결정질 모듈 중앙값 0.5%/년 (25년차 약 88% 잔존)</t>
  </si>
  <si>
    <t>사업 기간</t>
  </si>
  <si>
    <t>년</t>
  </si>
  <si>
    <t>PV 모듈 표준 수명·보증기간 통상 25년</t>
  </si>
  <si>
    <t>적용 전기요금 (1년차 가중평균 청구단가)</t>
  </si>
  <si>
    <t>원/kWh</t>
  </si>
  <si>
    <t>기본요금 제외, 전력량요금 가중평균에 기후환경요금(9원/kWh) 및 연료비조정요금(5원/kWh)을 더한 후 VAT(10%)와 전력기금(2.7%)을 합산한 최종 청구단가</t>
  </si>
  <si>
    <t>전기요금 상승률</t>
  </si>
  <si>
    <t>2021~24년 실적 약 11~15%/년(적자보전 catch-up)의 장기 완화치, 일반물가 상회 가정</t>
  </si>
  <si>
    <t>물가상승률</t>
  </si>
  <si>
    <t>한은 물가목표 2.0%·2026 전망 2.1%(최대 2.3%)·최근 2%대 중반, 보수적 2.5% 적용</t>
  </si>
  <si>
    <t>명목 할인율</t>
  </si>
  <si>
    <t>민간 hurdle rate. 참고: KDI 예타 사회적 할인율 4.5%(실질)≈명목 약 7%</t>
  </si>
  <si>
    <t>— 초기투자비 CAPEX —</t>
  </si>
  <si>
    <t>태양광 모듈</t>
  </si>
  <si>
    <t>원</t>
  </si>
  <si>
    <t>투자 없음</t>
  </si>
  <si>
    <t>액추에이터 (추종 구동)</t>
  </si>
  <si>
    <t>구조·프레임</t>
  </si>
  <si>
    <t>인버터·전력변환</t>
  </si>
  <si>
    <t>추종 제어시스템</t>
  </si>
  <si>
    <t>전기 BOS (배선·보호·계측)</t>
  </si>
  <si>
    <t>설치·시운전</t>
  </si>
  <si>
    <t>설계·인허가</t>
  </si>
  <si>
    <t>총 CAPEX</t>
  </si>
  <si>
    <t>— 운영비·교체비 —</t>
  </si>
  <si>
    <t>O&amp;M 비율 (CAPEX 대비)</t>
  </si>
  <si>
    <t>투자 없음 (O&amp;M 없음)</t>
  </si>
  <si>
    <t>O&amp;M 1년차 금액</t>
  </si>
  <si>
    <t>원/년</t>
  </si>
  <si>
    <t>총CAPEX x O&amp;M비율</t>
  </si>
  <si>
    <t>액추에이터 교체연도</t>
  </si>
  <si>
    <t>년차</t>
  </si>
  <si>
    <t>해당 없음 — BIPV 없음</t>
  </si>
  <si>
    <t>액추에이터 교체비 (현재가)</t>
  </si>
  <si>
    <t>설비용량 (참고)</t>
  </si>
  <si>
    <t>kWp</t>
  </si>
  <si>
    <t>해당 없음 (PV 없음)</t>
  </si>
  <si>
    <t>④ 계절별 전기요금 및 최종 청구단가 (일반용전력(갑) I · 저압)</t>
  </si>
  <si>
    <t>계절</t>
  </si>
  <si>
    <t>적용 월</t>
  </si>
  <si>
    <t>최종 청구단가 (원/kWh)</t>
  </si>
  <si>
    <t>월별 발전비중</t>
  </si>
  <si>
    <t>비고</t>
  </si>
  <si>
    <t>여름철</t>
  </si>
  <si>
    <t>6~8월</t>
  </si>
  <si>
    <t>피크 일사량 기간, 발전량 최대</t>
  </si>
  <si>
    <t>봄·가을철</t>
  </si>
  <si>
    <t>3~5월, 9~10월</t>
  </si>
  <si>
    <t>중간 일사량</t>
  </si>
  <si>
    <t>겨울철</t>
  </si>
  <si>
    <t>11~2월</t>
  </si>
  <si>
    <t>일사량 최저</t>
  </si>
  <si>
    <t>합계/가중평균</t>
  </si>
  <si>
    <t>참고: 기본요금</t>
  </si>
  <si>
    <t>원/kW</t>
  </si>
  <si>
    <t>저압 기본요금 (별도, 본 DCF에서는 절감액에 미반영)</t>
  </si>
  <si>
    <t>⑤ 추가 요금 및 세금 가정</t>
  </si>
  <si>
    <t>기후환경요금단가</t>
  </si>
  <si>
    <t>기후환경요금 부과단가 (2024년 기준 9.0원/kWh)</t>
  </si>
  <si>
    <t>연료비조정단가</t>
  </si>
  <si>
    <t>연료비조정요금 부과단가 (상한 ±5원/kWh 적용)</t>
  </si>
  <si>
    <t>부가가치세 요율</t>
  </si>
  <si>
    <t>%</t>
  </si>
  <si>
    <t>전기요금의 10% 부과 (원미만 4사 5입)</t>
  </si>
  <si>
    <t>전력산업기반기금 요율</t>
  </si>
  <si>
    <t>전기요금의 2.7% 부과 (2025.7.1 요율 인하 반영, 10원미만 절사)</t>
  </si>
  <si>
    <t>Base 모델 (BIPV 미설치) — 연도별 현금흐름</t>
  </si>
  <si>
    <t>연도</t>
  </si>
  <si>
    <t>발전량(kWh)</t>
  </si>
  <si>
    <t>구동소비(kWh)</t>
  </si>
  <si>
    <t>순발전(kWh)</t>
  </si>
  <si>
    <t>전기요금(원/kWh)</t>
  </si>
  <si>
    <t>전력절감액(원)</t>
  </si>
  <si>
    <t>O&amp;M(원)</t>
  </si>
  <si>
    <t>교체비(원)</t>
  </si>
  <si>
    <t>순현금흐름(원)</t>
  </si>
  <si>
    <t>할인계수</t>
  </si>
  <si>
    <t>할인현금흐름(원)</t>
  </si>
  <si>
    <t>누적할인(원)</t>
  </si>
  <si>
    <t>Base 모델 (BIPV 미설치) — 결과 요약</t>
  </si>
  <si>
    <t>지표</t>
  </si>
  <si>
    <t>NPV (순현재가치)</t>
  </si>
  <si>
    <t>IRR (내부수익률)</t>
  </si>
  <si>
    <t>LCOE (균등화발전원가)</t>
  </si>
  <si>
    <t>할인 회수기간</t>
  </si>
  <si>
    <t>판정</t>
  </si>
  <si>
    <t>정적 BIPV (고정 90°) — 가정 및 근거</t>
  </si>
  <si>
    <t>시뮬레이션 결과: 90° 고정각 연간 발전량 (18.18 MWh)</t>
  </si>
  <si>
    <t>고정형 — 구동 소비전력 없음</t>
  </si>
  <si>
    <t>사용자 제공: 97,000원 × 96개</t>
  </si>
  <si>
    <t>고정형 — 액추에이터 불필요 (0원)</t>
  </si>
  <si>
    <t>고정형 프레임 — 키네틱 대비 단순화 적용 (5,000,000원)</t>
  </si>
  <si>
    <t>엔지니어링 추정: 약 40kWp 기준 (실견적 대체 권장)</t>
  </si>
  <si>
    <t>고정형 — 추종 제어시스템 불필요 (0원)</t>
  </si>
  <si>
    <t>엔지니어링 추정</t>
  </si>
  <si>
    <t>고정형 시공 — 키네틱 대비 저난이도 반영 (4,000,000원)</t>
  </si>
  <si>
    <t>NREL ATB 표준 PV O&amp;M 1.2% (가동부 없음)</t>
  </si>
  <si>
    <t>해당 없음 — 가동부 없음</t>
  </si>
  <si>
    <t>96패널 × 약 420W 가정 (LCOE·단가 산출용)</t>
  </si>
  <si>
    <t>정적 BIPV (고정 90°) — 연도별 현금흐름 (명목)</t>
  </si>
  <si>
    <t>정적 BIPV (고정 90°) — 결과 요약</t>
  </si>
  <si>
    <t>키네틱 BIPV 경제성 분석 — 가정 및 근거</t>
  </si>
  <si>
    <t>사용자 제공 실측값</t>
  </si>
  <si>
    <t>사용자 제공 실측값 (액추에이터 구동, 순절감서 차감)</t>
  </si>
  <si>
    <t>사용자 제공: 200,000원 × 18개</t>
  </si>
  <si>
    <t>엔지니어링 추정: 키네틱 가동 프레임 (실견적 대체 권장)</t>
  </si>
  <si>
    <t>엔지니어링 추정: 센서·컨트롤러·모터드라이버</t>
  </si>
  <si>
    <t>엔지니어링 추정: 키네틱 시공 난이도 반영</t>
  </si>
  <si>
    <t>NREL ATB 기본 PV O&amp;M 약 1.1~1.2% + 키네틱 가동부 정비 가산</t>
  </si>
  <si>
    <t>가동부 기계 수명 통상 10~15년 (키네틱 고유 비용). 인버터 교체는 학부 단순화로 제외</t>
  </si>
  <si>
    <t>액추에이터 CAPEX, 교체시점 물가반영</t>
  </si>
  <si>
    <t>키네틱 BIPV — 연도별 현금흐름 (명목, 구동전력 차감)</t>
  </si>
  <si>
    <t>키네틱 BIPV — 결과 요약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</si>
</sst>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,##0.0;\(#,##0.0\);\-"/>
    <numFmt numFmtId="177" formatCode="0.0%"/>
    <numFmt numFmtId="178" formatCode="#,##0;\(#,##0\);\-"/>
    <numFmt numFmtId="179" formatCode="#,##0.0"/>
    <numFmt numFmtId="180" formatCode="#,##0;\-#,##0;\-"/>
    <numFmt numFmtId="181" formatCode="0.000"/>
    <numFmt numFmtId="182" formatCode="#,##0.0;\-#,##0.0;\-"/>
    <numFmt numFmtId="183" formatCode="0.0"/>
  </numFmts>
  <fonts count="21">
    <font>
      <sz val="11"/>
      <color theme="1"/>
      <name val="Calibri"/>
      <family val="2"/>
      <charset val="1"/>
    </font>
    <font>
      <b/>
      <sz val="13"/>
      <name val="Noto Sans CJK SC"/>
      <family val="2"/>
      <charset val="1"/>
    </font>
    <font>
      <b/>
      <sz val="11"/>
      <color rgb="FFFFFFFF"/>
      <name val="Noto Sans CJK SC"/>
      <family val="2"/>
      <charset val="1"/>
    </font>
    <font>
      <b/>
      <sz val="11"/>
      <name val="Noto Sans CJK SC"/>
      <family val="2"/>
      <charset val="1"/>
    </font>
    <font>
      <sz val="11"/>
      <color rgb="FF000000"/>
      <name val="Noto Sans CJK SC"/>
      <family val="2"/>
      <charset val="1"/>
    </font>
    <font>
      <sz val="11"/>
      <color rgb="FF000000"/>
      <name val="Arial"/>
      <family val="2"/>
      <charset val="1"/>
    </font>
    <font>
      <i/>
      <sz val="9"/>
      <color rgb="FF808080"/>
      <name val="Noto Sans CJK SC"/>
      <family val="2"/>
      <charset val="1"/>
    </font>
    <font>
      <sz val="11"/>
      <color rgb="FF0000FF"/>
      <name val="Arial"/>
      <family val="2"/>
      <charset val="1"/>
    </font>
    <font>
      <i/>
      <sz val="9"/>
      <color rgb="FF808080"/>
      <name val="Arial"/>
      <family val="2"/>
      <charset val="1"/>
    </font>
    <font>
      <b/>
      <sz val="11"/>
      <name val="Arial"/>
      <family val="2"/>
      <charset val="1"/>
    </font>
    <font>
      <sz val="11"/>
      <color rgb="FF008000"/>
      <name val="Arial"/>
      <family val="2"/>
      <charset val="1"/>
    </font>
    <font>
      <b/>
      <sz val="12"/>
      <color rgb="FFFFFFFF"/>
      <name val="Noto Sans CJK SC"/>
      <family val="2"/>
      <charset val="1"/>
    </font>
    <font>
      <b/>
      <sz val="11"/>
      <name val="Calibri"/>
      <family val="2"/>
      <charset val="1"/>
    </font>
    <font>
      <sz val="11"/>
      <name val="Noto Sans CJK SC"/>
      <family val="2"/>
      <charset val="1"/>
    </font>
    <font>
      <sz val="11"/>
      <name val="Calibri"/>
      <family val="2"/>
      <charset val="1"/>
    </font>
    <font>
      <b/>
      <i/>
      <sz val="11"/>
      <name val="Noto Sans CJK SC"/>
      <family val="2"/>
      <charset val="1"/>
    </font>
    <font>
      <i/>
      <sz val="11"/>
      <color rgb="FF808080"/>
      <name val="Noto Sans CJK SC"/>
      <family val="2"/>
      <charset val="1"/>
    </font>
    <font>
      <sz val="11"/>
      <color rgb="FF000000"/>
      <name val="Noto Sans CJK SC"/>
      <charset val="1"/>
    </font>
    <font>
      <b/>
      <sz val="11"/>
      <color rgb="FFFFFFFF"/>
      <name val="Arial"/>
      <family val="2"/>
      <charset val="1"/>
    </font>
    <font>
      <sz val="8"/>
      <name val="돋움"/>
      <family val="3"/>
      <charset val="129"/>
    </font>
    <font>
      <i/>
      <sz val="9"/>
      <color rgb="FF808080"/>
      <name val="Noto Sans CJK SC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305496"/>
        <bgColor rgb="FF4472C4"/>
      </patternFill>
    </fill>
    <fill>
      <patternFill patternType="solid">
        <fgColor rgb="FFD9E1F2"/>
        <bgColor rgb="FFD9E2F3"/>
      </patternFill>
    </fill>
    <fill>
      <patternFill patternType="solid">
        <fgColor rgb="FFFFF2CC"/>
        <bgColor rgb="FFFFFFFF"/>
      </patternFill>
    </fill>
    <fill>
      <patternFill patternType="solid">
        <fgColor rgb="FF4472C4"/>
        <bgColor rgb="FF666699"/>
      </patternFill>
    </fill>
    <fill>
      <patternFill patternType="solid">
        <fgColor rgb="FFD9E2F3"/>
        <bgColor rgb="FFD9E1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0" borderId="1" xfId="0" applyFont="1" applyBorder="1"/>
    <xf numFmtId="0" fontId="2" fillId="2" borderId="1" xfId="0" applyFont="1" applyFill="1" applyBorder="1" applyAlignment="1">
      <alignment horizontal="center" wrapText="1"/>
    </xf>
    <xf numFmtId="0" fontId="4" fillId="0" borderId="1" xfId="0" applyFont="1" applyBorder="1"/>
    <xf numFmtId="176" fontId="5" fillId="0" borderId="1" xfId="0" applyNumberFormat="1" applyFont="1" applyBorder="1"/>
    <xf numFmtId="0" fontId="5" fillId="0" borderId="1" xfId="0" applyFont="1" applyBorder="1"/>
    <xf numFmtId="177" fontId="7" fillId="4" borderId="1" xfId="0" applyNumberFormat="1" applyFont="1" applyFill="1" applyBorder="1"/>
    <xf numFmtId="0" fontId="7" fillId="4" borderId="1" xfId="0" applyFont="1" applyFill="1" applyBorder="1"/>
    <xf numFmtId="178" fontId="7" fillId="4" borderId="1" xfId="0" applyNumberFormat="1" applyFont="1" applyFill="1" applyBorder="1"/>
    <xf numFmtId="178" fontId="5" fillId="0" borderId="1" xfId="0" applyNumberFormat="1" applyFont="1" applyBorder="1"/>
    <xf numFmtId="0" fontId="3" fillId="3" borderId="1" xfId="0" applyFont="1" applyFill="1" applyBorder="1"/>
    <xf numFmtId="178" fontId="9" fillId="3" borderId="1" xfId="0" applyNumberFormat="1" applyFont="1" applyFill="1" applyBorder="1"/>
    <xf numFmtId="0" fontId="4" fillId="3" borderId="1" xfId="0" applyFont="1" applyFill="1" applyBorder="1"/>
    <xf numFmtId="0" fontId="0" fillId="3" borderId="1" xfId="0" applyFill="1" applyBorder="1"/>
    <xf numFmtId="178" fontId="10" fillId="0" borderId="1" xfId="0" applyNumberFormat="1" applyFont="1" applyBorder="1"/>
    <xf numFmtId="0" fontId="3" fillId="6" borderId="2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2" xfId="0" applyFont="1" applyBorder="1"/>
    <xf numFmtId="0" fontId="14" fillId="0" borderId="2" xfId="0" applyFont="1" applyBorder="1"/>
    <xf numFmtId="179" fontId="14" fillId="0" borderId="2" xfId="0" applyNumberFormat="1" applyFont="1" applyBorder="1"/>
    <xf numFmtId="177" fontId="14" fillId="0" borderId="2" xfId="0" applyNumberFormat="1" applyFont="1" applyBorder="1"/>
    <xf numFmtId="179" fontId="13" fillId="0" borderId="2" xfId="0" applyNumberFormat="1" applyFont="1" applyBorder="1"/>
    <xf numFmtId="179" fontId="14" fillId="0" borderId="0" xfId="0" applyNumberFormat="1" applyFont="1"/>
    <xf numFmtId="0" fontId="3" fillId="0" borderId="2" xfId="0" applyFont="1" applyBorder="1"/>
    <xf numFmtId="179" fontId="12" fillId="0" borderId="2" xfId="0" applyNumberFormat="1" applyFont="1" applyBorder="1"/>
    <xf numFmtId="177" fontId="12" fillId="0" borderId="2" xfId="0" applyNumberFormat="1" applyFont="1" applyBorder="1"/>
    <xf numFmtId="179" fontId="12" fillId="0" borderId="0" xfId="0" applyNumberFormat="1" applyFont="1"/>
    <xf numFmtId="0" fontId="15" fillId="0" borderId="0" xfId="0" applyFont="1"/>
    <xf numFmtId="3" fontId="0" fillId="0" borderId="0" xfId="0" applyNumberFormat="1"/>
    <xf numFmtId="0" fontId="13" fillId="0" borderId="0" xfId="0" applyFont="1"/>
    <xf numFmtId="0" fontId="16" fillId="0" borderId="0" xfId="0" applyFont="1"/>
    <xf numFmtId="0" fontId="17" fillId="0" borderId="1" xfId="0" applyFont="1" applyBorder="1"/>
    <xf numFmtId="179" fontId="7" fillId="4" borderId="1" xfId="0" applyNumberFormat="1" applyFont="1" applyFill="1" applyBorder="1"/>
    <xf numFmtId="0" fontId="18" fillId="2" borderId="1" xfId="0" applyFont="1" applyFill="1" applyBorder="1" applyAlignment="1">
      <alignment horizontal="center" wrapText="1"/>
    </xf>
    <xf numFmtId="1" fontId="5" fillId="0" borderId="1" xfId="0" applyNumberFormat="1" applyFont="1" applyBorder="1" applyAlignment="1">
      <alignment horizontal="center"/>
    </xf>
    <xf numFmtId="180" fontId="5" fillId="0" borderId="1" xfId="0" applyNumberFormat="1" applyFont="1" applyBorder="1"/>
    <xf numFmtId="181" fontId="5" fillId="0" borderId="1" xfId="0" applyNumberFormat="1" applyFont="1" applyBorder="1"/>
    <xf numFmtId="182" fontId="5" fillId="0" borderId="1" xfId="0" applyNumberFormat="1" applyFont="1" applyBorder="1"/>
    <xf numFmtId="177" fontId="10" fillId="0" borderId="1" xfId="0" applyNumberFormat="1" applyFont="1" applyBorder="1"/>
    <xf numFmtId="176" fontId="10" fillId="0" borderId="1" xfId="0" applyNumberFormat="1" applyFont="1" applyBorder="1"/>
    <xf numFmtId="183" fontId="10" fillId="0" borderId="1" xfId="0" applyNumberFormat="1" applyFont="1" applyBorder="1"/>
    <xf numFmtId="0" fontId="6" fillId="0" borderId="1" xfId="0" applyFont="1" applyBorder="1"/>
    <xf numFmtId="0" fontId="0" fillId="0" borderId="3" xfId="0" applyBorder="1"/>
    <xf numFmtId="0" fontId="8" fillId="0" borderId="1" xfId="0" applyFont="1" applyBorder="1"/>
    <xf numFmtId="0" fontId="1" fillId="0" borderId="0" xfId="0" applyFont="1"/>
    <xf numFmtId="0" fontId="0" fillId="0" borderId="0" xfId="0"/>
    <xf numFmtId="0" fontId="3" fillId="3" borderId="0" xfId="0" applyFont="1" applyFill="1"/>
    <xf numFmtId="0" fontId="11" fillId="5" borderId="0" xfId="0" applyFont="1" applyFill="1"/>
    <xf numFmtId="0" fontId="20" fillId="0" borderId="1" xfId="0" applyFont="1" applyBorder="1"/>
    <xf numFmtId="0" fontId="3" fillId="0" borderId="1" xfId="0" applyFont="1" applyBorder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878787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누적 할인현금흐름 </a:t>
            </a:r>
            <a:r>
              <a:rPr lang="en-US" altLang="ko-KR" sz="1800" b="1" strike="noStrike" spc="-1">
                <a:solidFill>
                  <a:srgbClr val="000000"/>
                </a:solidFill>
                <a:latin typeface="Calibri"/>
              </a:rPr>
              <a:t>(</a:t>
            </a: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회수 추이</a:t>
            </a:r>
            <a:r>
              <a:rPr lang="en-US" altLang="ko-KR" sz="1800" b="1" strike="noStrike" spc="-1">
                <a:solidFill>
                  <a:srgbClr val="000000"/>
                </a:solidFill>
                <a:latin typeface="Calibri"/>
              </a:rPr>
              <a:t>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현금흐름!$L$3</c:f>
              <c:strCache>
                <c:ptCount val="1"/>
                <c:pt idx="0">
                  <c:v>누적할인(원)</c:v>
                </c:pt>
              </c:strCache>
            </c:strRef>
          </c:tx>
          <c:spPr>
            <a:ln w="28440">
              <a:solidFill>
                <a:srgbClr val="305496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ko-K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현금흐름!$A$4:$A$29</c:f>
              <c:numCache>
                <c:formatCode>0</c:formatCode>
                <c:ptCount val="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</c:numCache>
            </c:numRef>
          </c:cat>
          <c:val>
            <c:numRef>
              <c:f>현금흐름!$L$4:$L$29</c:f>
              <c:numCache>
                <c:formatCode>#,##0;\-#,##0;\-</c:formatCode>
                <c:ptCount val="26"/>
                <c:pt idx="0">
                  <c:v>-60400000</c:v>
                </c:pt>
                <c:pt idx="1">
                  <c:v>-56953839.078593753</c:v>
                </c:pt>
                <c:pt idx="2">
                  <c:v>-53514345.178435288</c:v>
                </c:pt>
                <c:pt idx="3">
                  <c:v>-50082344.455095157</c:v>
                </c:pt>
                <c:pt idx="4">
                  <c:v>-46658625.474222645</c:v>
                </c:pt>
                <c:pt idx="5">
                  <c:v>-43243940.557558805</c:v>
                </c:pt>
                <c:pt idx="6">
                  <c:v>-39839007.083333507</c:v>
                </c:pt>
                <c:pt idx="7">
                  <c:v>-36444508.742569126</c:v>
                </c:pt>
                <c:pt idx="8">
                  <c:v>-33061096.752762958</c:v>
                </c:pt>
                <c:pt idx="9">
                  <c:v>-29689391.030371539</c:v>
                </c:pt>
                <c:pt idx="10">
                  <c:v>-26329981.323472612</c:v>
                </c:pt>
                <c:pt idx="11">
                  <c:v>-22983428.30593494</c:v>
                </c:pt>
                <c:pt idx="12">
                  <c:v>-22051722.915302895</c:v>
                </c:pt>
                <c:pt idx="13">
                  <c:v>-18732454.250112385</c:v>
                </c:pt>
                <c:pt idx="14">
                  <c:v>-15427560.241656447</c:v>
                </c:pt>
                <c:pt idx="15">
                  <c:v>-12137495.482940355</c:v>
                </c:pt>
                <c:pt idx="16">
                  <c:v>-8862690.4297659602</c:v>
                </c:pt>
                <c:pt idx="17">
                  <c:v>-5603552.2895045783</c:v>
                </c:pt>
                <c:pt idx="18">
                  <c:v>-2360465.8795292778</c:v>
                </c:pt>
                <c:pt idx="19">
                  <c:v>866205.54367854679</c:v>
                </c:pt>
                <c:pt idx="20">
                  <c:v>4076119.4837672003</c:v>
                </c:pt>
                <c:pt idx="21">
                  <c:v>7268953.4311488299</c:v>
                </c:pt>
                <c:pt idx="22">
                  <c:v>10444404.11611272</c:v>
                </c:pt>
                <c:pt idx="23">
                  <c:v>13602186.787531318</c:v>
                </c:pt>
                <c:pt idx="24">
                  <c:v>16742034.516301997</c:v>
                </c:pt>
                <c:pt idx="25">
                  <c:v>19863697.52269613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4D5-47C2-994C-DF4199A3B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1791371"/>
        <c:axId val="30758500"/>
      </c:lineChart>
      <c:catAx>
        <c:axId val="17913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ko-KR" altLang="en-US" sz="1000" b="1" strike="noStrike" spc="-1">
                    <a:solidFill>
                      <a:srgbClr val="000000"/>
                    </a:solidFill>
                    <a:latin typeface="Calibri"/>
                  </a:rPr>
                  <a:t>연도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30758500"/>
        <c:crosses val="autoZero"/>
        <c:auto val="1"/>
        <c:lblAlgn val="ctr"/>
        <c:lblOffset val="100"/>
        <c:noMultiLvlLbl val="0"/>
      </c:catAx>
      <c:valAx>
        <c:axId val="307585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ko-KR" altLang="en-US" sz="1000" b="1" strike="noStrike" spc="-1">
                    <a:solidFill>
                      <a:srgbClr val="000000"/>
                    </a:solidFill>
                    <a:latin typeface="Calibri"/>
                  </a:rPr>
                  <a:t>원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1791371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125640</xdr:rowOff>
    </xdr:from>
    <xdr:to>
      <xdr:col>12</xdr:col>
      <xdr:colOff>506880</xdr:colOff>
      <xdr:row>15</xdr:row>
      <xdr:rowOff>173520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workbookViewId="0"/>
  </sheetViews>
  <sheetFormatPr defaultColWidth="8.7109375" defaultRowHeight="15"/>
  <cols>
    <col min="1" max="1" width="30" customWidth="1"/>
    <col min="2" max="2" width="15" customWidth="1"/>
    <col min="3" max="3" width="22" customWidth="1"/>
    <col min="4" max="4" width="18" customWidth="1"/>
    <col min="5" max="5" width="50" customWidth="1"/>
  </cols>
  <sheetData>
    <row r="1" spans="1:5" ht="19.5" customHeight="1">
      <c r="A1" s="44" t="s">
        <v>0</v>
      </c>
      <c r="B1" s="45"/>
      <c r="C1" s="45"/>
      <c r="D1" s="45"/>
      <c r="E1" s="45"/>
    </row>
    <row r="3" spans="1:5" ht="16.5" customHeight="1">
      <c r="A3" s="2" t="s">
        <v>1</v>
      </c>
      <c r="B3" s="2" t="s">
        <v>2</v>
      </c>
      <c r="C3" s="2" t="s">
        <v>3</v>
      </c>
      <c r="D3" s="2" t="s">
        <v>4</v>
      </c>
      <c r="E3" s="2"/>
    </row>
    <row r="4" spans="1:5" ht="15" customHeight="1">
      <c r="A4" s="46" t="s">
        <v>5</v>
      </c>
      <c r="B4" s="45"/>
      <c r="C4" s="45"/>
      <c r="D4" s="45"/>
      <c r="E4" s="45"/>
    </row>
    <row r="5" spans="1:5" ht="16.5" customHeight="1">
      <c r="A5" s="3" t="s">
        <v>6</v>
      </c>
      <c r="B5" s="4">
        <v>0</v>
      </c>
      <c r="C5" s="5" t="s">
        <v>7</v>
      </c>
      <c r="D5" s="41" t="s">
        <v>8</v>
      </c>
      <c r="E5" s="42"/>
    </row>
    <row r="6" spans="1:5" ht="16.5" customHeight="1">
      <c r="A6" s="3" t="s">
        <v>9</v>
      </c>
      <c r="B6" s="4">
        <v>0</v>
      </c>
      <c r="C6" s="5" t="s">
        <v>7</v>
      </c>
      <c r="D6" s="41" t="s">
        <v>10</v>
      </c>
      <c r="E6" s="42"/>
    </row>
    <row r="7" spans="1:5" ht="16.5" customHeight="1">
      <c r="A7" s="3" t="s">
        <v>11</v>
      </c>
      <c r="B7" s="6">
        <v>5.0000000000000001E-3</v>
      </c>
      <c r="C7" s="5" t="s">
        <v>12</v>
      </c>
      <c r="D7" s="43" t="s">
        <v>13</v>
      </c>
      <c r="E7" s="42"/>
    </row>
    <row r="8" spans="1:5" ht="15" customHeight="1">
      <c r="A8" s="3" t="s">
        <v>14</v>
      </c>
      <c r="B8" s="7">
        <v>25</v>
      </c>
      <c r="C8" s="3" t="s">
        <v>15</v>
      </c>
      <c r="D8" s="43" t="s">
        <v>16</v>
      </c>
      <c r="E8" s="42"/>
    </row>
    <row r="9" spans="1:5" ht="16.5" customHeight="1">
      <c r="A9" s="3" t="s">
        <v>17</v>
      </c>
      <c r="B9" s="8">
        <f>C37</f>
        <v>138.67789096000001</v>
      </c>
      <c r="C9" s="3" t="s">
        <v>18</v>
      </c>
      <c r="D9" s="41" t="s">
        <v>19</v>
      </c>
      <c r="E9" s="42"/>
    </row>
    <row r="10" spans="1:5" ht="16.5" customHeight="1">
      <c r="A10" s="3" t="s">
        <v>20</v>
      </c>
      <c r="B10" s="6">
        <v>0.05</v>
      </c>
      <c r="C10" s="5" t="s">
        <v>12</v>
      </c>
      <c r="D10" s="43" t="s">
        <v>21</v>
      </c>
      <c r="E10" s="42"/>
    </row>
    <row r="11" spans="1:5" ht="16.5" customHeight="1">
      <c r="A11" s="3" t="s">
        <v>22</v>
      </c>
      <c r="B11" s="6">
        <v>0.02</v>
      </c>
      <c r="C11" s="5" t="s">
        <v>12</v>
      </c>
      <c r="D11" s="41" t="s">
        <v>23</v>
      </c>
      <c r="E11" s="42"/>
    </row>
    <row r="12" spans="1:5" ht="16.5" customHeight="1">
      <c r="A12" s="3" t="s">
        <v>24</v>
      </c>
      <c r="B12" s="6">
        <v>5.5E-2</v>
      </c>
      <c r="C12" s="5" t="s">
        <v>12</v>
      </c>
      <c r="D12" s="41" t="s">
        <v>25</v>
      </c>
      <c r="E12" s="42"/>
    </row>
    <row r="14" spans="1:5" ht="16.5" customHeight="1">
      <c r="A14" s="46" t="s">
        <v>26</v>
      </c>
      <c r="B14" s="45"/>
      <c r="C14" s="45"/>
      <c r="D14" s="45"/>
      <c r="E14" s="45"/>
    </row>
    <row r="15" spans="1:5" ht="15" customHeight="1">
      <c r="A15" s="3" t="s">
        <v>27</v>
      </c>
      <c r="B15" s="9">
        <v>0</v>
      </c>
      <c r="C15" s="3" t="s">
        <v>28</v>
      </c>
      <c r="D15" s="41" t="s">
        <v>29</v>
      </c>
      <c r="E15" s="42"/>
    </row>
    <row r="16" spans="1:5" ht="16.5" customHeight="1">
      <c r="A16" s="3" t="s">
        <v>30</v>
      </c>
      <c r="B16" s="9">
        <v>0</v>
      </c>
      <c r="C16" s="3" t="s">
        <v>28</v>
      </c>
      <c r="D16" s="41" t="s">
        <v>29</v>
      </c>
      <c r="E16" s="42"/>
    </row>
    <row r="17" spans="1:5" ht="16.5" customHeight="1">
      <c r="A17" s="3" t="s">
        <v>31</v>
      </c>
      <c r="B17" s="8">
        <v>0</v>
      </c>
      <c r="C17" s="3" t="s">
        <v>28</v>
      </c>
      <c r="D17" s="41" t="s">
        <v>29</v>
      </c>
      <c r="E17" s="42"/>
    </row>
    <row r="18" spans="1:5" ht="16.5" customHeight="1">
      <c r="A18" s="3" t="s">
        <v>32</v>
      </c>
      <c r="B18" s="8">
        <v>0</v>
      </c>
      <c r="C18" s="3" t="s">
        <v>28</v>
      </c>
      <c r="D18" s="48" t="s">
        <v>29</v>
      </c>
      <c r="E18" s="42"/>
    </row>
    <row r="19" spans="1:5" ht="15" customHeight="1">
      <c r="A19" s="3" t="s">
        <v>33</v>
      </c>
      <c r="B19" s="8">
        <v>0</v>
      </c>
      <c r="C19" s="3" t="s">
        <v>28</v>
      </c>
      <c r="D19" s="41" t="s">
        <v>29</v>
      </c>
      <c r="E19" s="42"/>
    </row>
    <row r="20" spans="1:5" ht="16.5" customHeight="1">
      <c r="A20" s="3" t="s">
        <v>34</v>
      </c>
      <c r="B20" s="8">
        <v>0</v>
      </c>
      <c r="C20" s="3" t="s">
        <v>28</v>
      </c>
      <c r="D20" s="41" t="s">
        <v>29</v>
      </c>
      <c r="E20" s="42"/>
    </row>
    <row r="21" spans="1:5" ht="16.5" customHeight="1">
      <c r="A21" s="3" t="s">
        <v>35</v>
      </c>
      <c r="B21" s="8">
        <v>0</v>
      </c>
      <c r="C21" s="3" t="s">
        <v>28</v>
      </c>
      <c r="D21" s="41" t="s">
        <v>29</v>
      </c>
      <c r="E21" s="42"/>
    </row>
    <row r="22" spans="1:5" ht="16.5" customHeight="1">
      <c r="A22" s="3" t="s">
        <v>36</v>
      </c>
      <c r="B22" s="8">
        <v>0</v>
      </c>
      <c r="C22" s="3" t="s">
        <v>28</v>
      </c>
      <c r="D22" s="41" t="s">
        <v>29</v>
      </c>
      <c r="E22" s="42"/>
    </row>
    <row r="23" spans="1:5" ht="16.5" customHeight="1">
      <c r="A23" s="10" t="s">
        <v>37</v>
      </c>
      <c r="B23" s="11">
        <f>SUM(B15:B22)</f>
        <v>0</v>
      </c>
      <c r="C23" s="12" t="s">
        <v>28</v>
      </c>
      <c r="D23" s="13"/>
      <c r="E23" s="13"/>
    </row>
    <row r="25" spans="1:5" ht="16.5" customHeight="1">
      <c r="A25" s="46" t="s">
        <v>38</v>
      </c>
      <c r="B25" s="45"/>
      <c r="C25" s="45"/>
      <c r="D25" s="45"/>
      <c r="E25" s="45"/>
    </row>
    <row r="26" spans="1:5" ht="16.5" customHeight="1">
      <c r="A26" s="5" t="s">
        <v>39</v>
      </c>
      <c r="B26" s="6">
        <v>0</v>
      </c>
      <c r="C26" s="5" t="s">
        <v>12</v>
      </c>
      <c r="D26" s="43" t="s">
        <v>40</v>
      </c>
      <c r="E26" s="42"/>
    </row>
    <row r="27" spans="1:5" ht="16.5" customHeight="1">
      <c r="A27" s="5" t="s">
        <v>41</v>
      </c>
      <c r="B27" s="14">
        <f>B23*B26</f>
        <v>0</v>
      </c>
      <c r="C27" s="3" t="s">
        <v>42</v>
      </c>
      <c r="D27" s="41" t="s">
        <v>43</v>
      </c>
      <c r="E27" s="42"/>
    </row>
    <row r="28" spans="1:5" ht="15" customHeight="1">
      <c r="A28" s="3" t="s">
        <v>44</v>
      </c>
      <c r="B28" s="7">
        <v>99</v>
      </c>
      <c r="C28" s="3" t="s">
        <v>45</v>
      </c>
      <c r="D28" s="41" t="s">
        <v>46</v>
      </c>
      <c r="E28" s="42"/>
    </row>
    <row r="29" spans="1:5" ht="16.5" customHeight="1">
      <c r="A29" s="3" t="s">
        <v>47</v>
      </c>
      <c r="B29" s="14">
        <v>0</v>
      </c>
      <c r="C29" s="3" t="s">
        <v>28</v>
      </c>
      <c r="D29" s="41" t="s">
        <v>10</v>
      </c>
      <c r="E29" s="42"/>
    </row>
    <row r="30" spans="1:5" ht="16.5" customHeight="1">
      <c r="A30" s="3" t="s">
        <v>48</v>
      </c>
      <c r="B30" s="7">
        <v>0</v>
      </c>
      <c r="C30" s="5" t="s">
        <v>49</v>
      </c>
      <c r="D30" s="43" t="s">
        <v>50</v>
      </c>
      <c r="E30" s="42"/>
    </row>
    <row r="32" spans="1:5" ht="15" customHeight="1">
      <c r="A32" s="47" t="s">
        <v>51</v>
      </c>
      <c r="B32" s="45"/>
      <c r="C32" s="45"/>
      <c r="D32" s="45"/>
      <c r="E32" s="45"/>
    </row>
    <row r="33" spans="1:6" ht="16.5" customHeight="1">
      <c r="A33" s="15" t="s">
        <v>52</v>
      </c>
      <c r="B33" s="15" t="s">
        <v>53</v>
      </c>
      <c r="C33" s="15" t="s">
        <v>54</v>
      </c>
      <c r="D33" s="15" t="s">
        <v>55</v>
      </c>
      <c r="E33" s="15" t="s">
        <v>56</v>
      </c>
      <c r="F33" s="16"/>
    </row>
    <row r="34" spans="1:6" ht="16.5" customHeight="1">
      <c r="A34" s="17" t="s">
        <v>57</v>
      </c>
      <c r="B34" s="18" t="s">
        <v>58</v>
      </c>
      <c r="C34" s="19">
        <f>(132.4+$B$42+$B$43)*(1+$B$44+$B$45)</f>
        <v>164.99280000000002</v>
      </c>
      <c r="D34" s="20">
        <v>0.22420000000000001</v>
      </c>
      <c r="E34" s="21" t="s">
        <v>59</v>
      </c>
      <c r="F34" s="22"/>
    </row>
    <row r="35" spans="1:6" ht="16.5" customHeight="1">
      <c r="A35" s="17" t="s">
        <v>60</v>
      </c>
      <c r="B35" s="18" t="s">
        <v>61</v>
      </c>
      <c r="C35" s="21">
        <f>(91.9+$B$42+$B$43)*(1+$B$44+$B$45)</f>
        <v>119.3493</v>
      </c>
      <c r="D35" s="20">
        <v>0.47799999999999998</v>
      </c>
      <c r="E35" s="21" t="s">
        <v>62</v>
      </c>
      <c r="F35" s="22"/>
    </row>
    <row r="36" spans="1:6" ht="16.5" customHeight="1">
      <c r="A36" s="17" t="s">
        <v>63</v>
      </c>
      <c r="B36" s="18" t="s">
        <v>64</v>
      </c>
      <c r="C36" s="21">
        <f>(119+$B$42+$B$43)*(1+$B$44+$B$45)</f>
        <v>149.89099999999999</v>
      </c>
      <c r="D36" s="20">
        <v>0.29780000000000001</v>
      </c>
      <c r="E36" s="21" t="s">
        <v>65</v>
      </c>
      <c r="F36" s="22"/>
    </row>
    <row r="37" spans="1:6" ht="16.5" customHeight="1">
      <c r="A37" s="23" t="s">
        <v>66</v>
      </c>
      <c r="C37" s="24">
        <f>SUMPRODUCT(C34:C36,D34:D36)</f>
        <v>138.67789096000001</v>
      </c>
      <c r="D37" s="25">
        <f>SUM(D34:D36)</f>
        <v>1</v>
      </c>
      <c r="E37" s="24"/>
      <c r="F37" s="26"/>
    </row>
    <row r="39" spans="1:6" ht="16.5" customHeight="1">
      <c r="A39" s="27" t="s">
        <v>67</v>
      </c>
      <c r="B39" s="28">
        <v>6160</v>
      </c>
      <c r="C39" s="29" t="s">
        <v>68</v>
      </c>
      <c r="D39" s="30" t="s">
        <v>69</v>
      </c>
    </row>
    <row r="41" spans="1:6" ht="15" customHeight="1">
      <c r="A41" s="47" t="s">
        <v>70</v>
      </c>
      <c r="B41" s="45"/>
      <c r="C41" s="45"/>
      <c r="D41" s="45"/>
      <c r="E41" s="45"/>
    </row>
    <row r="42" spans="1:6" ht="16.5" customHeight="1">
      <c r="A42" s="31" t="s">
        <v>71</v>
      </c>
      <c r="B42" s="32">
        <v>9</v>
      </c>
      <c r="C42" s="3" t="s">
        <v>18</v>
      </c>
      <c r="D42" s="41" t="s">
        <v>72</v>
      </c>
      <c r="E42" s="42"/>
    </row>
    <row r="43" spans="1:6" ht="16.5" customHeight="1">
      <c r="A43" s="31" t="s">
        <v>73</v>
      </c>
      <c r="B43" s="32">
        <v>5</v>
      </c>
      <c r="C43" s="3" t="s">
        <v>18</v>
      </c>
      <c r="D43" s="41" t="s">
        <v>74</v>
      </c>
      <c r="E43" s="42"/>
    </row>
    <row r="44" spans="1:6" ht="14.25" customHeight="1">
      <c r="A44" s="31" t="s">
        <v>75</v>
      </c>
      <c r="B44" s="6">
        <v>0.1</v>
      </c>
      <c r="C44" s="5" t="s">
        <v>76</v>
      </c>
      <c r="D44" s="41" t="s">
        <v>77</v>
      </c>
      <c r="E44" s="42"/>
    </row>
    <row r="45" spans="1:6" ht="14.25" customHeight="1">
      <c r="A45" s="31" t="s">
        <v>78</v>
      </c>
      <c r="B45" s="6">
        <v>2.7E-2</v>
      </c>
      <c r="C45" s="5" t="s">
        <v>76</v>
      </c>
      <c r="D45" s="41" t="s">
        <v>79</v>
      </c>
      <c r="E45" s="42"/>
    </row>
  </sheetData>
  <mergeCells count="31">
    <mergeCell ref="D44:E44"/>
    <mergeCell ref="D30:E30"/>
    <mergeCell ref="D42:E42"/>
    <mergeCell ref="D15:E15"/>
    <mergeCell ref="D29:E29"/>
    <mergeCell ref="D5:E5"/>
    <mergeCell ref="D26:E26"/>
    <mergeCell ref="D45:E45"/>
    <mergeCell ref="D21:E21"/>
    <mergeCell ref="D6:E6"/>
    <mergeCell ref="D11:E11"/>
    <mergeCell ref="A25:E25"/>
    <mergeCell ref="D27:E27"/>
    <mergeCell ref="A41:E41"/>
    <mergeCell ref="D17:E17"/>
    <mergeCell ref="D16:E16"/>
    <mergeCell ref="D7:E7"/>
    <mergeCell ref="D43:E43"/>
    <mergeCell ref="D28:E28"/>
    <mergeCell ref="A32:E32"/>
    <mergeCell ref="A14:E14"/>
    <mergeCell ref="D18:E18"/>
    <mergeCell ref="D9:E9"/>
    <mergeCell ref="D20:E20"/>
    <mergeCell ref="D10:E10"/>
    <mergeCell ref="D19:E19"/>
    <mergeCell ref="A1:E1"/>
    <mergeCell ref="D22:E22"/>
    <mergeCell ref="D12:E12"/>
    <mergeCell ref="D8:E8"/>
    <mergeCell ref="A4:E4"/>
  </mergeCells>
  <phoneticPr fontId="1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9"/>
  <sheetViews>
    <sheetView workbookViewId="0"/>
  </sheetViews>
  <sheetFormatPr defaultColWidth="8.7109375" defaultRowHeight="15"/>
  <cols>
    <col min="1" max="1" width="6" customWidth="1"/>
    <col min="2" max="4" width="12" customWidth="1"/>
    <col min="5" max="6" width="14" customWidth="1"/>
    <col min="7" max="8" width="12" customWidth="1"/>
    <col min="9" max="9" width="14" customWidth="1"/>
    <col min="10" max="10" width="9" customWidth="1"/>
    <col min="11" max="11" width="14" customWidth="1"/>
    <col min="12" max="12" width="15" customWidth="1"/>
  </cols>
  <sheetData>
    <row r="1" spans="1:12" ht="19.5" customHeight="1">
      <c r="A1" s="44" t="s">
        <v>80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</row>
    <row r="3" spans="1:12" ht="32.25" customHeight="1">
      <c r="A3" s="2" t="s">
        <v>81</v>
      </c>
      <c r="B3" s="2" t="s">
        <v>82</v>
      </c>
      <c r="C3" s="2" t="s">
        <v>83</v>
      </c>
      <c r="D3" s="2" t="s">
        <v>84</v>
      </c>
      <c r="E3" s="2" t="s">
        <v>85</v>
      </c>
      <c r="F3" s="2" t="s">
        <v>86</v>
      </c>
      <c r="G3" s="33" t="s">
        <v>87</v>
      </c>
      <c r="H3" s="2" t="s">
        <v>88</v>
      </c>
      <c r="I3" s="2" t="s">
        <v>89</v>
      </c>
      <c r="J3" s="2" t="s">
        <v>90</v>
      </c>
      <c r="K3" s="2" t="s">
        <v>91</v>
      </c>
      <c r="L3" s="2" t="s">
        <v>92</v>
      </c>
    </row>
    <row r="4" spans="1:12" ht="15" customHeight="1">
      <c r="A4" s="34">
        <v>0</v>
      </c>
      <c r="B4" s="4"/>
      <c r="C4" s="4"/>
      <c r="D4" s="4"/>
      <c r="E4" s="4"/>
      <c r="F4" s="9"/>
      <c r="G4" s="9"/>
      <c r="H4" s="9"/>
      <c r="I4" s="35">
        <f>-가정_Case1!$B$23</f>
        <v>0</v>
      </c>
      <c r="J4" s="36">
        <v>1</v>
      </c>
      <c r="K4" s="35">
        <f>I4</f>
        <v>0</v>
      </c>
      <c r="L4" s="35">
        <f>K4</f>
        <v>0</v>
      </c>
    </row>
    <row r="5" spans="1:12" ht="15" customHeight="1">
      <c r="A5" s="34">
        <v>1</v>
      </c>
      <c r="B5" s="37">
        <f>가정_Case1!$B$5*(1-가정_Case1!$B$7)^(A5-1)</f>
        <v>0</v>
      </c>
      <c r="C5" s="37">
        <f>가정_Case1!$B$6</f>
        <v>0</v>
      </c>
      <c r="D5" s="37">
        <f t="shared" ref="D5:D29" si="0">B5-C5</f>
        <v>0</v>
      </c>
      <c r="E5" s="37">
        <f>가정_Case1!$B$9*(1+가정_Case1!$B$10)^(A5-1)</f>
        <v>138.67789096000001</v>
      </c>
      <c r="F5" s="35">
        <f t="shared" ref="F5:F29" si="1">D5*E5</f>
        <v>0</v>
      </c>
      <c r="G5" s="35">
        <f>가정_Case1!$B$27*(1+가정_Case1!$B$11)^(A5-1)</f>
        <v>0</v>
      </c>
      <c r="H5" s="35">
        <f>IF(A5=가정_Case1!$B$28,가정_Case1!$B$29*(1+가정_Case1!$B$11)^A5,0)</f>
        <v>0</v>
      </c>
      <c r="I5" s="35">
        <f t="shared" ref="I5:I29" si="2">F5-G5-H5</f>
        <v>0</v>
      </c>
      <c r="J5" s="36">
        <f>1/(1+가정_Case1!$B$12)^A5</f>
        <v>0.94786729857819907</v>
      </c>
      <c r="K5" s="35">
        <f t="shared" ref="K5:K29" si="3">I5*J5</f>
        <v>0</v>
      </c>
      <c r="L5" s="35">
        <f t="shared" ref="L5:L29" si="4">L4+K5</f>
        <v>0</v>
      </c>
    </row>
    <row r="6" spans="1:12" ht="15" customHeight="1">
      <c r="A6" s="34">
        <v>2</v>
      </c>
      <c r="B6" s="37">
        <f>가정_Case1!$B$5*(1-가정_Case1!$B$7)^(A6-1)</f>
        <v>0</v>
      </c>
      <c r="C6" s="37">
        <f>가정_Case1!$B$6</f>
        <v>0</v>
      </c>
      <c r="D6" s="37">
        <f t="shared" si="0"/>
        <v>0</v>
      </c>
      <c r="E6" s="37">
        <f>가정_Case1!$B$9*(1+가정_Case1!$B$10)^(A6-1)</f>
        <v>145.61178550800003</v>
      </c>
      <c r="F6" s="35">
        <f t="shared" si="1"/>
        <v>0</v>
      </c>
      <c r="G6" s="35">
        <f>가정_Case1!$B$27*(1+가정_Case1!$B$11)^(A6-1)</f>
        <v>0</v>
      </c>
      <c r="H6" s="35">
        <f>IF(A6=가정_Case1!$B$28,가정_Case1!$B$29*(1+가정_Case1!$B$11)^A6,0)</f>
        <v>0</v>
      </c>
      <c r="I6" s="35">
        <f t="shared" si="2"/>
        <v>0</v>
      </c>
      <c r="J6" s="36">
        <f>1/(1+가정_Case1!$B$12)^A6</f>
        <v>0.89845241571393286</v>
      </c>
      <c r="K6" s="35">
        <f t="shared" si="3"/>
        <v>0</v>
      </c>
      <c r="L6" s="35">
        <f t="shared" si="4"/>
        <v>0</v>
      </c>
    </row>
    <row r="7" spans="1:12" ht="15" customHeight="1">
      <c r="A7" s="34">
        <v>3</v>
      </c>
      <c r="B7" s="37">
        <f>가정_Case1!$B$5*(1-가정_Case1!$B$7)^(A7-1)</f>
        <v>0</v>
      </c>
      <c r="C7" s="37">
        <f>가정_Case1!$B$6</f>
        <v>0</v>
      </c>
      <c r="D7" s="37">
        <f t="shared" si="0"/>
        <v>0</v>
      </c>
      <c r="E7" s="37">
        <f>가정_Case1!$B$9*(1+가정_Case1!$B$10)^(A7-1)</f>
        <v>152.89237478340002</v>
      </c>
      <c r="F7" s="35">
        <f t="shared" si="1"/>
        <v>0</v>
      </c>
      <c r="G7" s="35">
        <f>가정_Case1!$B$27*(1+가정_Case1!$B$11)^(A7-1)</f>
        <v>0</v>
      </c>
      <c r="H7" s="35">
        <f>IF(A7=가정_Case1!$B$28,가정_Case1!$B$29*(1+가정_Case1!$B$11)^A7,0)</f>
        <v>0</v>
      </c>
      <c r="I7" s="35">
        <f t="shared" si="2"/>
        <v>0</v>
      </c>
      <c r="J7" s="36">
        <f>1/(1+가정_Case1!$B$12)^A7</f>
        <v>0.85161366418382267</v>
      </c>
      <c r="K7" s="35">
        <f t="shared" si="3"/>
        <v>0</v>
      </c>
      <c r="L7" s="35">
        <f t="shared" si="4"/>
        <v>0</v>
      </c>
    </row>
    <row r="8" spans="1:12" ht="15" customHeight="1">
      <c r="A8" s="34">
        <v>4</v>
      </c>
      <c r="B8" s="37">
        <f>가정_Case1!$B$5*(1-가정_Case1!$B$7)^(A8-1)</f>
        <v>0</v>
      </c>
      <c r="C8" s="37">
        <f>가정_Case1!$B$6</f>
        <v>0</v>
      </c>
      <c r="D8" s="37">
        <f t="shared" si="0"/>
        <v>0</v>
      </c>
      <c r="E8" s="37">
        <f>가정_Case1!$B$9*(1+가정_Case1!$B$10)^(A8-1)</f>
        <v>160.53699352257004</v>
      </c>
      <c r="F8" s="35">
        <f t="shared" si="1"/>
        <v>0</v>
      </c>
      <c r="G8" s="35">
        <f>가정_Case1!$B$27*(1+가정_Case1!$B$11)^(A8-1)</f>
        <v>0</v>
      </c>
      <c r="H8" s="35">
        <f>IF(A8=가정_Case1!$B$28,가정_Case1!$B$29*(1+가정_Case1!$B$11)^A8,0)</f>
        <v>0</v>
      </c>
      <c r="I8" s="35">
        <f t="shared" si="2"/>
        <v>0</v>
      </c>
      <c r="J8" s="36">
        <f>1/(1+가정_Case1!$B$12)^A8</f>
        <v>0.80721674330220161</v>
      </c>
      <c r="K8" s="35">
        <f t="shared" si="3"/>
        <v>0</v>
      </c>
      <c r="L8" s="35">
        <f t="shared" si="4"/>
        <v>0</v>
      </c>
    </row>
    <row r="9" spans="1:12" ht="15" customHeight="1">
      <c r="A9" s="34">
        <v>5</v>
      </c>
      <c r="B9" s="37">
        <f>가정_Case1!$B$5*(1-가정_Case1!$B$7)^(A9-1)</f>
        <v>0</v>
      </c>
      <c r="C9" s="37">
        <f>가정_Case1!$B$6</f>
        <v>0</v>
      </c>
      <c r="D9" s="37">
        <f t="shared" si="0"/>
        <v>0</v>
      </c>
      <c r="E9" s="37">
        <f>가정_Case1!$B$9*(1+가정_Case1!$B$10)^(A9-1)</f>
        <v>168.56384319869852</v>
      </c>
      <c r="F9" s="35">
        <f t="shared" si="1"/>
        <v>0</v>
      </c>
      <c r="G9" s="35">
        <f>가정_Case1!$B$27*(1+가정_Case1!$B$11)^(A9-1)</f>
        <v>0</v>
      </c>
      <c r="H9" s="35">
        <f>IF(A9=가정_Case1!$B$28,가정_Case1!$B$29*(1+가정_Case1!$B$11)^A9,0)</f>
        <v>0</v>
      </c>
      <c r="I9" s="35">
        <f t="shared" si="2"/>
        <v>0</v>
      </c>
      <c r="J9" s="36">
        <f>1/(1+가정_Case1!$B$12)^A9</f>
        <v>0.76513435384094941</v>
      </c>
      <c r="K9" s="35">
        <f t="shared" si="3"/>
        <v>0</v>
      </c>
      <c r="L9" s="35">
        <f t="shared" si="4"/>
        <v>0</v>
      </c>
    </row>
    <row r="10" spans="1:12" ht="15" customHeight="1">
      <c r="A10" s="34">
        <v>6</v>
      </c>
      <c r="B10" s="37">
        <f>가정_Case1!$B$5*(1-가정_Case1!$B$7)^(A10-1)</f>
        <v>0</v>
      </c>
      <c r="C10" s="37">
        <f>가정_Case1!$B$6</f>
        <v>0</v>
      </c>
      <c r="D10" s="37">
        <f t="shared" si="0"/>
        <v>0</v>
      </c>
      <c r="E10" s="37">
        <f>가정_Case1!$B$9*(1+가정_Case1!$B$10)^(A10-1)</f>
        <v>176.99203535863347</v>
      </c>
      <c r="F10" s="35">
        <f t="shared" si="1"/>
        <v>0</v>
      </c>
      <c r="G10" s="35">
        <f>가정_Case1!$B$27*(1+가정_Case1!$B$11)^(A10-1)</f>
        <v>0</v>
      </c>
      <c r="H10" s="35">
        <f>IF(A10=가정_Case1!$B$28,가정_Case1!$B$29*(1+가정_Case1!$B$11)^A10,0)</f>
        <v>0</v>
      </c>
      <c r="I10" s="35">
        <f t="shared" si="2"/>
        <v>0</v>
      </c>
      <c r="J10" s="36">
        <f>1/(1+가정_Case1!$B$12)^A10</f>
        <v>0.72524583302459655</v>
      </c>
      <c r="K10" s="35">
        <f t="shared" si="3"/>
        <v>0</v>
      </c>
      <c r="L10" s="35">
        <f t="shared" si="4"/>
        <v>0</v>
      </c>
    </row>
    <row r="11" spans="1:12" ht="15" customHeight="1">
      <c r="A11" s="34">
        <v>7</v>
      </c>
      <c r="B11" s="37">
        <f>가정_Case1!$B$5*(1-가정_Case1!$B$7)^(A11-1)</f>
        <v>0</v>
      </c>
      <c r="C11" s="37">
        <f>가정_Case1!$B$6</f>
        <v>0</v>
      </c>
      <c r="D11" s="37">
        <f t="shared" si="0"/>
        <v>0</v>
      </c>
      <c r="E11" s="37">
        <f>가정_Case1!$B$9*(1+가정_Case1!$B$10)^(A11-1)</f>
        <v>185.8416371265651</v>
      </c>
      <c r="F11" s="35">
        <f t="shared" si="1"/>
        <v>0</v>
      </c>
      <c r="G11" s="35">
        <f>가정_Case1!$B$27*(1+가정_Case1!$B$11)^(A11-1)</f>
        <v>0</v>
      </c>
      <c r="H11" s="35">
        <f>IF(A11=가정_Case1!$B$28,가정_Case1!$B$29*(1+가정_Case1!$B$11)^A11,0)</f>
        <v>0</v>
      </c>
      <c r="I11" s="35">
        <f t="shared" si="2"/>
        <v>0</v>
      </c>
      <c r="J11" s="36">
        <f>1/(1+가정_Case1!$B$12)^A11</f>
        <v>0.68743680855412004</v>
      </c>
      <c r="K11" s="35">
        <f t="shared" si="3"/>
        <v>0</v>
      </c>
      <c r="L11" s="35">
        <f t="shared" si="4"/>
        <v>0</v>
      </c>
    </row>
    <row r="12" spans="1:12" ht="15" customHeight="1">
      <c r="A12" s="34">
        <v>8</v>
      </c>
      <c r="B12" s="37">
        <f>가정_Case1!$B$5*(1-가정_Case1!$B$7)^(A12-1)</f>
        <v>0</v>
      </c>
      <c r="C12" s="37">
        <f>가정_Case1!$B$6</f>
        <v>0</v>
      </c>
      <c r="D12" s="37">
        <f t="shared" si="0"/>
        <v>0</v>
      </c>
      <c r="E12" s="37">
        <f>가정_Case1!$B$9*(1+가정_Case1!$B$10)^(A12-1)</f>
        <v>195.13371898289341</v>
      </c>
      <c r="F12" s="35">
        <f t="shared" si="1"/>
        <v>0</v>
      </c>
      <c r="G12" s="35">
        <f>가정_Case1!$B$27*(1+가정_Case1!$B$11)^(A12-1)</f>
        <v>0</v>
      </c>
      <c r="H12" s="35">
        <f>IF(A12=가정_Case1!$B$28,가정_Case1!$B$29*(1+가정_Case1!$B$11)^A12,0)</f>
        <v>0</v>
      </c>
      <c r="I12" s="35">
        <f t="shared" si="2"/>
        <v>0</v>
      </c>
      <c r="J12" s="36">
        <f>1/(1+가정_Case1!$B$12)^A12</f>
        <v>0.6515988706674124</v>
      </c>
      <c r="K12" s="35">
        <f t="shared" si="3"/>
        <v>0</v>
      </c>
      <c r="L12" s="35">
        <f t="shared" si="4"/>
        <v>0</v>
      </c>
    </row>
    <row r="13" spans="1:12" ht="15" customHeight="1">
      <c r="A13" s="34">
        <v>9</v>
      </c>
      <c r="B13" s="37">
        <f>가정_Case1!$B$5*(1-가정_Case1!$B$7)^(A13-1)</f>
        <v>0</v>
      </c>
      <c r="C13" s="37">
        <f>가정_Case1!$B$6</f>
        <v>0</v>
      </c>
      <c r="D13" s="37">
        <f t="shared" si="0"/>
        <v>0</v>
      </c>
      <c r="E13" s="37">
        <f>가정_Case1!$B$9*(1+가정_Case1!$B$10)^(A13-1)</f>
        <v>204.89040493203805</v>
      </c>
      <c r="F13" s="35">
        <f t="shared" si="1"/>
        <v>0</v>
      </c>
      <c r="G13" s="35">
        <f>가정_Case1!$B$27*(1+가정_Case1!$B$11)^(A13-1)</f>
        <v>0</v>
      </c>
      <c r="H13" s="35">
        <f>IF(A13=가정_Case1!$B$28,가정_Case1!$B$29*(1+가정_Case1!$B$11)^A13,0)</f>
        <v>0</v>
      </c>
      <c r="I13" s="35">
        <f t="shared" si="2"/>
        <v>0</v>
      </c>
      <c r="J13" s="36">
        <f>1/(1+가정_Case1!$B$12)^A13</f>
        <v>0.6176292612961255</v>
      </c>
      <c r="K13" s="35">
        <f t="shared" si="3"/>
        <v>0</v>
      </c>
      <c r="L13" s="35">
        <f t="shared" si="4"/>
        <v>0</v>
      </c>
    </row>
    <row r="14" spans="1:12" ht="15" customHeight="1">
      <c r="A14" s="34">
        <v>10</v>
      </c>
      <c r="B14" s="37">
        <f>가정_Case1!$B$5*(1-가정_Case1!$B$7)^(A14-1)</f>
        <v>0</v>
      </c>
      <c r="C14" s="37">
        <f>가정_Case1!$B$6</f>
        <v>0</v>
      </c>
      <c r="D14" s="37">
        <f t="shared" si="0"/>
        <v>0</v>
      </c>
      <c r="E14" s="37">
        <f>가정_Case1!$B$9*(1+가정_Case1!$B$10)^(A14-1)</f>
        <v>215.13492517863997</v>
      </c>
      <c r="F14" s="35">
        <f t="shared" si="1"/>
        <v>0</v>
      </c>
      <c r="G14" s="35">
        <f>가정_Case1!$B$27*(1+가정_Case1!$B$11)^(A14-1)</f>
        <v>0</v>
      </c>
      <c r="H14" s="35">
        <f>IF(A14=가정_Case1!$B$28,가정_Case1!$B$29*(1+가정_Case1!$B$11)^A14,0)</f>
        <v>0</v>
      </c>
      <c r="I14" s="35">
        <f t="shared" si="2"/>
        <v>0</v>
      </c>
      <c r="J14" s="36">
        <f>1/(1+가정_Case1!$B$12)^A14</f>
        <v>0.58543057942760712</v>
      </c>
      <c r="K14" s="35">
        <f t="shared" si="3"/>
        <v>0</v>
      </c>
      <c r="L14" s="35">
        <f t="shared" si="4"/>
        <v>0</v>
      </c>
    </row>
    <row r="15" spans="1:12" ht="15" customHeight="1">
      <c r="A15" s="34">
        <v>11</v>
      </c>
      <c r="B15" s="37">
        <f>가정_Case1!$B$5*(1-가정_Case1!$B$7)^(A15-1)</f>
        <v>0</v>
      </c>
      <c r="C15" s="37">
        <f>가정_Case1!$B$6</f>
        <v>0</v>
      </c>
      <c r="D15" s="37">
        <f t="shared" si="0"/>
        <v>0</v>
      </c>
      <c r="E15" s="37">
        <f>가정_Case1!$B$9*(1+가정_Case1!$B$10)^(A15-1)</f>
        <v>225.89167143757197</v>
      </c>
      <c r="F15" s="35">
        <f t="shared" si="1"/>
        <v>0</v>
      </c>
      <c r="G15" s="35">
        <f>가정_Case1!$B$27*(1+가정_Case1!$B$11)^(A15-1)</f>
        <v>0</v>
      </c>
      <c r="H15" s="35">
        <f>IF(A15=가정_Case1!$B$28,가정_Case1!$B$29*(1+가정_Case1!$B$11)^A15,0)</f>
        <v>0</v>
      </c>
      <c r="I15" s="35">
        <f t="shared" si="2"/>
        <v>0</v>
      </c>
      <c r="J15" s="36">
        <f>1/(1+가정_Case1!$B$12)^A15</f>
        <v>0.55491050182711577</v>
      </c>
      <c r="K15" s="35">
        <f t="shared" si="3"/>
        <v>0</v>
      </c>
      <c r="L15" s="35">
        <f t="shared" si="4"/>
        <v>0</v>
      </c>
    </row>
    <row r="16" spans="1:12" ht="15" customHeight="1">
      <c r="A16" s="34">
        <v>12</v>
      </c>
      <c r="B16" s="37">
        <f>가정_Case1!$B$5*(1-가정_Case1!$B$7)^(A16-1)</f>
        <v>0</v>
      </c>
      <c r="C16" s="37">
        <f>가정_Case1!$B$6</f>
        <v>0</v>
      </c>
      <c r="D16" s="37">
        <f t="shared" si="0"/>
        <v>0</v>
      </c>
      <c r="E16" s="37">
        <f>가정_Case1!$B$9*(1+가정_Case1!$B$10)^(A16-1)</f>
        <v>237.18625500945058</v>
      </c>
      <c r="F16" s="35">
        <f t="shared" si="1"/>
        <v>0</v>
      </c>
      <c r="G16" s="35">
        <f>가정_Case1!$B$27*(1+가정_Case1!$B$11)^(A16-1)</f>
        <v>0</v>
      </c>
      <c r="H16" s="35">
        <f>IF(A16=가정_Case1!$B$28,가정_Case1!$B$29*(1+가정_Case1!$B$11)^A16,0)</f>
        <v>0</v>
      </c>
      <c r="I16" s="35">
        <f t="shared" si="2"/>
        <v>0</v>
      </c>
      <c r="J16" s="36">
        <f>1/(1+가정_Case1!$B$12)^A16</f>
        <v>0.5259815183195411</v>
      </c>
      <c r="K16" s="35">
        <f t="shared" si="3"/>
        <v>0</v>
      </c>
      <c r="L16" s="35">
        <f t="shared" si="4"/>
        <v>0</v>
      </c>
    </row>
    <row r="17" spans="1:12" ht="15" customHeight="1">
      <c r="A17" s="34">
        <v>13</v>
      </c>
      <c r="B17" s="37">
        <f>가정_Case1!$B$5*(1-가정_Case1!$B$7)^(A17-1)</f>
        <v>0</v>
      </c>
      <c r="C17" s="37">
        <f>가정_Case1!$B$6</f>
        <v>0</v>
      </c>
      <c r="D17" s="37">
        <f t="shared" si="0"/>
        <v>0</v>
      </c>
      <c r="E17" s="37">
        <f>가정_Case1!$B$9*(1+가정_Case1!$B$10)^(A17-1)</f>
        <v>249.04556775992307</v>
      </c>
      <c r="F17" s="35">
        <f t="shared" si="1"/>
        <v>0</v>
      </c>
      <c r="G17" s="35">
        <f>가정_Case1!$B$27*(1+가정_Case1!$B$11)^(A17-1)</f>
        <v>0</v>
      </c>
      <c r="H17" s="35">
        <f>IF(A17=가정_Case1!$B$28,가정_Case1!$B$29*(1+가정_Case1!$B$11)^A17,0)</f>
        <v>0</v>
      </c>
      <c r="I17" s="35">
        <f t="shared" si="2"/>
        <v>0</v>
      </c>
      <c r="J17" s="36">
        <f>1/(1+가정_Case1!$B$12)^A17</f>
        <v>0.49856068087160293</v>
      </c>
      <c r="K17" s="35">
        <f t="shared" si="3"/>
        <v>0</v>
      </c>
      <c r="L17" s="35">
        <f t="shared" si="4"/>
        <v>0</v>
      </c>
    </row>
    <row r="18" spans="1:12" ht="15" customHeight="1">
      <c r="A18" s="34">
        <v>14</v>
      </c>
      <c r="B18" s="37">
        <f>가정_Case1!$B$5*(1-가정_Case1!$B$7)^(A18-1)</f>
        <v>0</v>
      </c>
      <c r="C18" s="37">
        <f>가정_Case1!$B$6</f>
        <v>0</v>
      </c>
      <c r="D18" s="37">
        <f t="shared" si="0"/>
        <v>0</v>
      </c>
      <c r="E18" s="37">
        <f>가정_Case1!$B$9*(1+가정_Case1!$B$10)^(A18-1)</f>
        <v>261.49784614791929</v>
      </c>
      <c r="F18" s="35">
        <f t="shared" si="1"/>
        <v>0</v>
      </c>
      <c r="G18" s="35">
        <f>가정_Case1!$B$27*(1+가정_Case1!$B$11)^(A18-1)</f>
        <v>0</v>
      </c>
      <c r="H18" s="35">
        <f>IF(A18=가정_Case1!$B$28,가정_Case1!$B$29*(1+가정_Case1!$B$11)^A18,0)</f>
        <v>0</v>
      </c>
      <c r="I18" s="35">
        <f t="shared" si="2"/>
        <v>0</v>
      </c>
      <c r="J18" s="36">
        <f>1/(1+가정_Case1!$B$12)^A18</f>
        <v>0.47256936575507386</v>
      </c>
      <c r="K18" s="35">
        <f t="shared" si="3"/>
        <v>0</v>
      </c>
      <c r="L18" s="35">
        <f t="shared" si="4"/>
        <v>0</v>
      </c>
    </row>
    <row r="19" spans="1:12" ht="15" customHeight="1">
      <c r="A19" s="34">
        <v>15</v>
      </c>
      <c r="B19" s="37">
        <f>가정_Case1!$B$5*(1-가정_Case1!$B$7)^(A19-1)</f>
        <v>0</v>
      </c>
      <c r="C19" s="37">
        <f>가정_Case1!$B$6</f>
        <v>0</v>
      </c>
      <c r="D19" s="37">
        <f t="shared" si="0"/>
        <v>0</v>
      </c>
      <c r="E19" s="37">
        <f>가정_Case1!$B$9*(1+가정_Case1!$B$10)^(A19-1)</f>
        <v>274.57273845531518</v>
      </c>
      <c r="F19" s="35">
        <f t="shared" si="1"/>
        <v>0</v>
      </c>
      <c r="G19" s="35">
        <f>가정_Case1!$B$27*(1+가정_Case1!$B$11)^(A19-1)</f>
        <v>0</v>
      </c>
      <c r="H19" s="35">
        <f>IF(A19=가정_Case1!$B$28,가정_Case1!$B$29*(1+가정_Case1!$B$11)^A19,0)</f>
        <v>0</v>
      </c>
      <c r="I19" s="35">
        <f t="shared" si="2"/>
        <v>0</v>
      </c>
      <c r="J19" s="36">
        <f>1/(1+가정_Case1!$B$12)^A19</f>
        <v>0.44793304810907481</v>
      </c>
      <c r="K19" s="35">
        <f t="shared" si="3"/>
        <v>0</v>
      </c>
      <c r="L19" s="35">
        <f t="shared" si="4"/>
        <v>0</v>
      </c>
    </row>
    <row r="20" spans="1:12" ht="15" customHeight="1">
      <c r="A20" s="34">
        <v>16</v>
      </c>
      <c r="B20" s="37">
        <f>가정_Case1!$B$5*(1-가정_Case1!$B$7)^(A20-1)</f>
        <v>0</v>
      </c>
      <c r="C20" s="37">
        <f>가정_Case1!$B$6</f>
        <v>0</v>
      </c>
      <c r="D20" s="37">
        <f t="shared" si="0"/>
        <v>0</v>
      </c>
      <c r="E20" s="37">
        <f>가정_Case1!$B$9*(1+가정_Case1!$B$10)^(A20-1)</f>
        <v>288.30137537808099</v>
      </c>
      <c r="F20" s="35">
        <f t="shared" si="1"/>
        <v>0</v>
      </c>
      <c r="G20" s="35">
        <f>가정_Case1!$B$27*(1+가정_Case1!$B$11)^(A20-1)</f>
        <v>0</v>
      </c>
      <c r="H20" s="35">
        <f>IF(A20=가정_Case1!$B$28,가정_Case1!$B$29*(1+가정_Case1!$B$11)^A20,0)</f>
        <v>0</v>
      </c>
      <c r="I20" s="35">
        <f t="shared" si="2"/>
        <v>0</v>
      </c>
      <c r="J20" s="36">
        <f>1/(1+가정_Case1!$B$12)^A20</f>
        <v>0.4245810882550472</v>
      </c>
      <c r="K20" s="35">
        <f t="shared" si="3"/>
        <v>0</v>
      </c>
      <c r="L20" s="35">
        <f t="shared" si="4"/>
        <v>0</v>
      </c>
    </row>
    <row r="21" spans="1:12" ht="15" customHeight="1">
      <c r="A21" s="34">
        <v>17</v>
      </c>
      <c r="B21" s="37">
        <f>가정_Case1!$B$5*(1-가정_Case1!$B$7)^(A21-1)</f>
        <v>0</v>
      </c>
      <c r="C21" s="37">
        <f>가정_Case1!$B$6</f>
        <v>0</v>
      </c>
      <c r="D21" s="37">
        <f t="shared" si="0"/>
        <v>0</v>
      </c>
      <c r="E21" s="37">
        <f>가정_Case1!$B$9*(1+가정_Case1!$B$10)^(A21-1)</f>
        <v>302.71644414698505</v>
      </c>
      <c r="F21" s="35">
        <f t="shared" si="1"/>
        <v>0</v>
      </c>
      <c r="G21" s="35">
        <f>가정_Case1!$B$27*(1+가정_Case1!$B$11)^(A21-1)</f>
        <v>0</v>
      </c>
      <c r="H21" s="35">
        <f>IF(A21=가정_Case1!$B$28,가정_Case1!$B$29*(1+가정_Case1!$B$11)^A21,0)</f>
        <v>0</v>
      </c>
      <c r="I21" s="35">
        <f t="shared" si="2"/>
        <v>0</v>
      </c>
      <c r="J21" s="36">
        <f>1/(1+가정_Case1!$B$12)^A21</f>
        <v>0.40244652915170354</v>
      </c>
      <c r="K21" s="35">
        <f t="shared" si="3"/>
        <v>0</v>
      </c>
      <c r="L21" s="35">
        <f t="shared" si="4"/>
        <v>0</v>
      </c>
    </row>
    <row r="22" spans="1:12" ht="15" customHeight="1">
      <c r="A22" s="34">
        <v>18</v>
      </c>
      <c r="B22" s="37">
        <f>가정_Case1!$B$5*(1-가정_Case1!$B$7)^(A22-1)</f>
        <v>0</v>
      </c>
      <c r="C22" s="37">
        <f>가정_Case1!$B$6</f>
        <v>0</v>
      </c>
      <c r="D22" s="37">
        <f t="shared" si="0"/>
        <v>0</v>
      </c>
      <c r="E22" s="37">
        <f>가정_Case1!$B$9*(1+가정_Case1!$B$10)^(A22-1)</f>
        <v>317.85226635433435</v>
      </c>
      <c r="F22" s="35">
        <f t="shared" si="1"/>
        <v>0</v>
      </c>
      <c r="G22" s="35">
        <f>가정_Case1!$B$27*(1+가정_Case1!$B$11)^(A22-1)</f>
        <v>0</v>
      </c>
      <c r="H22" s="35">
        <f>IF(A22=가정_Case1!$B$28,가정_Case1!$B$29*(1+가정_Case1!$B$11)^A22,0)</f>
        <v>0</v>
      </c>
      <c r="I22" s="35">
        <f t="shared" si="2"/>
        <v>0</v>
      </c>
      <c r="J22" s="36">
        <f>1/(1+가정_Case1!$B$12)^A22</f>
        <v>0.38146590440919764</v>
      </c>
      <c r="K22" s="35">
        <f t="shared" si="3"/>
        <v>0</v>
      </c>
      <c r="L22" s="35">
        <f t="shared" si="4"/>
        <v>0</v>
      </c>
    </row>
    <row r="23" spans="1:12" ht="15" customHeight="1">
      <c r="A23" s="34">
        <v>19</v>
      </c>
      <c r="B23" s="37">
        <f>가정_Case1!$B$5*(1-가정_Case1!$B$7)^(A23-1)</f>
        <v>0</v>
      </c>
      <c r="C23" s="37">
        <f>가정_Case1!$B$6</f>
        <v>0</v>
      </c>
      <c r="D23" s="37">
        <f t="shared" si="0"/>
        <v>0</v>
      </c>
      <c r="E23" s="37">
        <f>가정_Case1!$B$9*(1+가정_Case1!$B$10)^(A23-1)</f>
        <v>333.74487967205107</v>
      </c>
      <c r="F23" s="35">
        <f t="shared" si="1"/>
        <v>0</v>
      </c>
      <c r="G23" s="35">
        <f>가정_Case1!$B$27*(1+가정_Case1!$B$11)^(A23-1)</f>
        <v>0</v>
      </c>
      <c r="H23" s="35">
        <f>IF(A23=가정_Case1!$B$28,가정_Case1!$B$29*(1+가정_Case1!$B$11)^A23,0)</f>
        <v>0</v>
      </c>
      <c r="I23" s="35">
        <f t="shared" si="2"/>
        <v>0</v>
      </c>
      <c r="J23" s="36">
        <f>1/(1+가정_Case1!$B$12)^A23</f>
        <v>0.36157905631203574</v>
      </c>
      <c r="K23" s="35">
        <f t="shared" si="3"/>
        <v>0</v>
      </c>
      <c r="L23" s="35">
        <f t="shared" si="4"/>
        <v>0</v>
      </c>
    </row>
    <row r="24" spans="1:12" ht="15" customHeight="1">
      <c r="A24" s="34">
        <v>20</v>
      </c>
      <c r="B24" s="37">
        <f>가정_Case1!$B$5*(1-가정_Case1!$B$7)^(A24-1)</f>
        <v>0</v>
      </c>
      <c r="C24" s="37">
        <f>가정_Case1!$B$6</f>
        <v>0</v>
      </c>
      <c r="D24" s="37">
        <f t="shared" si="0"/>
        <v>0</v>
      </c>
      <c r="E24" s="37">
        <f>가정_Case1!$B$9*(1+가정_Case1!$B$10)^(A24-1)</f>
        <v>350.43212365565358</v>
      </c>
      <c r="F24" s="35">
        <f t="shared" si="1"/>
        <v>0</v>
      </c>
      <c r="G24" s="35">
        <f>가정_Case1!$B$27*(1+가정_Case1!$B$11)^(A24-1)</f>
        <v>0</v>
      </c>
      <c r="H24" s="35">
        <f>IF(A24=가정_Case1!$B$28,가정_Case1!$B$29*(1+가정_Case1!$B$11)^A24,0)</f>
        <v>0</v>
      </c>
      <c r="I24" s="35">
        <f t="shared" si="2"/>
        <v>0</v>
      </c>
      <c r="J24" s="36">
        <f>1/(1+가정_Case1!$B$12)^A24</f>
        <v>0.34272896332894381</v>
      </c>
      <c r="K24" s="35">
        <f t="shared" si="3"/>
        <v>0</v>
      </c>
      <c r="L24" s="35">
        <f t="shared" si="4"/>
        <v>0</v>
      </c>
    </row>
    <row r="25" spans="1:12" ht="15" customHeight="1">
      <c r="A25" s="34">
        <v>21</v>
      </c>
      <c r="B25" s="37">
        <f>가정_Case1!$B$5*(1-가정_Case1!$B$7)^(A25-1)</f>
        <v>0</v>
      </c>
      <c r="C25" s="37">
        <f>가정_Case1!$B$6</f>
        <v>0</v>
      </c>
      <c r="D25" s="37">
        <f t="shared" si="0"/>
        <v>0</v>
      </c>
      <c r="E25" s="37">
        <f>가정_Case1!$B$9*(1+가정_Case1!$B$10)^(A25-1)</f>
        <v>367.95372983843629</v>
      </c>
      <c r="F25" s="35">
        <f t="shared" si="1"/>
        <v>0</v>
      </c>
      <c r="G25" s="35">
        <f>가정_Case1!$B$27*(1+가정_Case1!$B$11)^(A25-1)</f>
        <v>0</v>
      </c>
      <c r="H25" s="35">
        <f>IF(A25=가정_Case1!$B$28,가정_Case1!$B$29*(1+가정_Case1!$B$11)^A25,0)</f>
        <v>0</v>
      </c>
      <c r="I25" s="35">
        <f t="shared" si="2"/>
        <v>0</v>
      </c>
      <c r="J25" s="36">
        <f>1/(1+가정_Case1!$B$12)^A25</f>
        <v>0.32486157661511261</v>
      </c>
      <c r="K25" s="35">
        <f t="shared" si="3"/>
        <v>0</v>
      </c>
      <c r="L25" s="35">
        <f t="shared" si="4"/>
        <v>0</v>
      </c>
    </row>
    <row r="26" spans="1:12" ht="15" customHeight="1">
      <c r="A26" s="34">
        <v>22</v>
      </c>
      <c r="B26" s="37">
        <f>가정_Case1!$B$5*(1-가정_Case1!$B$7)^(A26-1)</f>
        <v>0</v>
      </c>
      <c r="C26" s="37">
        <f>가정_Case1!$B$6</f>
        <v>0</v>
      </c>
      <c r="D26" s="37">
        <f t="shared" si="0"/>
        <v>0</v>
      </c>
      <c r="E26" s="37">
        <f>가정_Case1!$B$9*(1+가정_Case1!$B$10)^(A26-1)</f>
        <v>386.35141633035806</v>
      </c>
      <c r="F26" s="35">
        <f t="shared" si="1"/>
        <v>0</v>
      </c>
      <c r="G26" s="35">
        <f>가정_Case1!$B$27*(1+가정_Case1!$B$11)^(A26-1)</f>
        <v>0</v>
      </c>
      <c r="H26" s="35">
        <f>IF(A26=가정_Case1!$B$28,가정_Case1!$B$29*(1+가정_Case1!$B$11)^A26,0)</f>
        <v>0</v>
      </c>
      <c r="I26" s="35">
        <f t="shared" si="2"/>
        <v>0</v>
      </c>
      <c r="J26" s="36">
        <f>1/(1+가정_Case1!$B$12)^A26</f>
        <v>0.30792566503802149</v>
      </c>
      <c r="K26" s="35">
        <f t="shared" si="3"/>
        <v>0</v>
      </c>
      <c r="L26" s="35">
        <f t="shared" si="4"/>
        <v>0</v>
      </c>
    </row>
    <row r="27" spans="1:12" ht="15" customHeight="1">
      <c r="A27" s="34">
        <v>23</v>
      </c>
      <c r="B27" s="37">
        <f>가정_Case1!$B$5*(1-가정_Case1!$B$7)^(A27-1)</f>
        <v>0</v>
      </c>
      <c r="C27" s="37">
        <f>가정_Case1!$B$6</f>
        <v>0</v>
      </c>
      <c r="D27" s="37">
        <f t="shared" si="0"/>
        <v>0</v>
      </c>
      <c r="E27" s="37">
        <f>가정_Case1!$B$9*(1+가정_Case1!$B$10)^(A27-1)</f>
        <v>405.66898714687596</v>
      </c>
      <c r="F27" s="35">
        <f t="shared" si="1"/>
        <v>0</v>
      </c>
      <c r="G27" s="35">
        <f>가정_Case1!$B$27*(1+가정_Case1!$B$11)^(A27-1)</f>
        <v>0</v>
      </c>
      <c r="H27" s="35">
        <f>IF(A27=가정_Case1!$B$28,가정_Case1!$B$29*(1+가정_Case1!$B$11)^A27,0)</f>
        <v>0</v>
      </c>
      <c r="I27" s="35">
        <f t="shared" si="2"/>
        <v>0</v>
      </c>
      <c r="J27" s="36">
        <f>1/(1+가정_Case1!$B$12)^A27</f>
        <v>0.29187266828248482</v>
      </c>
      <c r="K27" s="35">
        <f t="shared" si="3"/>
        <v>0</v>
      </c>
      <c r="L27" s="35">
        <f t="shared" si="4"/>
        <v>0</v>
      </c>
    </row>
    <row r="28" spans="1:12" ht="15" customHeight="1">
      <c r="A28" s="34">
        <v>24</v>
      </c>
      <c r="B28" s="37">
        <f>가정_Case1!$B$5*(1-가정_Case1!$B$7)^(A28-1)</f>
        <v>0</v>
      </c>
      <c r="C28" s="37">
        <f>가정_Case1!$B$6</f>
        <v>0</v>
      </c>
      <c r="D28" s="37">
        <f t="shared" si="0"/>
        <v>0</v>
      </c>
      <c r="E28" s="37">
        <f>가정_Case1!$B$9*(1+가정_Case1!$B$10)^(A28-1)</f>
        <v>425.9524365042198</v>
      </c>
      <c r="F28" s="35">
        <f t="shared" si="1"/>
        <v>0</v>
      </c>
      <c r="G28" s="35">
        <f>가정_Case1!$B$27*(1+가정_Case1!$B$11)^(A28-1)</f>
        <v>0</v>
      </c>
      <c r="H28" s="35">
        <f>IF(A28=가정_Case1!$B$28,가정_Case1!$B$29*(1+가정_Case1!$B$11)^A28,0)</f>
        <v>0</v>
      </c>
      <c r="I28" s="35">
        <f t="shared" si="2"/>
        <v>0</v>
      </c>
      <c r="J28" s="36">
        <f>1/(1+가정_Case1!$B$12)^A28</f>
        <v>0.2766565576137297</v>
      </c>
      <c r="K28" s="35">
        <f t="shared" si="3"/>
        <v>0</v>
      </c>
      <c r="L28" s="35">
        <f t="shared" si="4"/>
        <v>0</v>
      </c>
    </row>
    <row r="29" spans="1:12" ht="15" customHeight="1">
      <c r="A29" s="34">
        <v>25</v>
      </c>
      <c r="B29" s="37">
        <f>가정_Case1!$B$5*(1-가정_Case1!$B$7)^(A29-1)</f>
        <v>0</v>
      </c>
      <c r="C29" s="37">
        <f>가정_Case1!$B$6</f>
        <v>0</v>
      </c>
      <c r="D29" s="37">
        <f t="shared" si="0"/>
        <v>0</v>
      </c>
      <c r="E29" s="37">
        <f>가정_Case1!$B$9*(1+가정_Case1!$B$10)^(A29-1)</f>
        <v>447.25005832943077</v>
      </c>
      <c r="F29" s="35">
        <f t="shared" si="1"/>
        <v>0</v>
      </c>
      <c r="G29" s="35">
        <f>가정_Case1!$B$27*(1+가정_Case1!$B$11)^(A29-1)</f>
        <v>0</v>
      </c>
      <c r="H29" s="35">
        <f>IF(A29=가정_Case1!$B$28,가정_Case1!$B$29*(1+가정_Case1!$B$11)^A29,0)</f>
        <v>0</v>
      </c>
      <c r="I29" s="35">
        <f t="shared" si="2"/>
        <v>0</v>
      </c>
      <c r="J29" s="36">
        <f>1/(1+가정_Case1!$B$12)^A29</f>
        <v>0.26223370389926987</v>
      </c>
      <c r="K29" s="35">
        <f t="shared" si="3"/>
        <v>0</v>
      </c>
      <c r="L29" s="35">
        <f t="shared" si="4"/>
        <v>0</v>
      </c>
    </row>
  </sheetData>
  <mergeCells count="1">
    <mergeCell ref="A1:L1"/>
  </mergeCells>
  <phoneticPr fontId="1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/>
  </sheetViews>
  <sheetFormatPr defaultColWidth="8.7109375" defaultRowHeight="15"/>
  <cols>
    <col min="1" max="1" width="24" customWidth="1"/>
    <col min="2" max="3" width="16" customWidth="1"/>
  </cols>
  <sheetData>
    <row r="1" spans="1:3" ht="19.5" customHeight="1">
      <c r="A1" s="44" t="s">
        <v>93</v>
      </c>
      <c r="B1" s="45"/>
      <c r="C1" s="45"/>
    </row>
    <row r="3" spans="1:3" ht="16.5" customHeight="1">
      <c r="A3" s="2" t="s">
        <v>94</v>
      </c>
      <c r="B3" s="2" t="s">
        <v>2</v>
      </c>
      <c r="C3" s="2" t="s">
        <v>3</v>
      </c>
    </row>
    <row r="4" spans="1:3" ht="16.5" customHeight="1">
      <c r="A4" s="3" t="s">
        <v>37</v>
      </c>
      <c r="B4" s="14">
        <f>가정_Case1!B23</f>
        <v>0</v>
      </c>
      <c r="C4" s="3" t="s">
        <v>28</v>
      </c>
    </row>
    <row r="5" spans="1:3" ht="16.5" customHeight="1">
      <c r="A5" s="5" t="s">
        <v>95</v>
      </c>
      <c r="B5" s="14">
        <f>SUM(현금흐름_Case1!K4:K29)</f>
        <v>0</v>
      </c>
      <c r="C5" s="3" t="s">
        <v>28</v>
      </c>
    </row>
    <row r="6" spans="1:3" ht="16.5" customHeight="1">
      <c r="A6" s="5" t="s">
        <v>96</v>
      </c>
      <c r="B6" s="38" t="e">
        <f>IRR(현금흐름_Case1!I4:I29)</f>
        <v>#NUM!</v>
      </c>
      <c r="C6" s="5" t="s">
        <v>76</v>
      </c>
    </row>
    <row r="7" spans="1:3" ht="16.5" customHeight="1">
      <c r="A7" s="5" t="s">
        <v>97</v>
      </c>
      <c r="B7" s="39" t="e">
        <f>(가정_Case1!B23+SUMPRODUCT(현금흐름_Case1!G5:G29+현금흐름_Case1!H5:H29,현금흐름_Case1!J5:J29))/SUMPRODUCT(현금흐름_Case1!D5:D29,현금흐름_Case1!J5:J29)</f>
        <v>#DIV/0!</v>
      </c>
      <c r="C7" s="3" t="s">
        <v>18</v>
      </c>
    </row>
    <row r="8" spans="1:3" ht="15" customHeight="1">
      <c r="A8" s="3" t="s">
        <v>98</v>
      </c>
      <c r="B8" s="40" t="str">
        <f>IFERROR((COUNTIF(현금흐름_Case1!L4:L29,"&lt;0")-1)+(-INDEX(현금흐름_Case1!L4:L29,COUNTIF(현금흐름_Case1!L4:L29,"&lt;0")))/INDEX(현금흐름_Case1!K4:K29,COUNTIF(현금흐름_Case1!L4:L29,"&lt;0")+1),"25년내 미회수")</f>
        <v>25년내 미회수</v>
      </c>
      <c r="C8" s="3" t="s">
        <v>15</v>
      </c>
    </row>
    <row r="10" spans="1:3" ht="16.5" customHeight="1">
      <c r="A10" s="1" t="s">
        <v>99</v>
      </c>
      <c r="B10" s="49" t="str">
        <f>IF(B5&gt;0,"투자가치 있음 (NPV&gt;0)","투자 부적합 (NPV&lt;0)")</f>
        <v>투자 부적합 (NPV&lt;0)</v>
      </c>
      <c r="C10" s="42"/>
    </row>
  </sheetData>
  <mergeCells count="2">
    <mergeCell ref="A1:C1"/>
    <mergeCell ref="B10:C10"/>
  </mergeCells>
  <phoneticPr fontId="1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5"/>
  <sheetViews>
    <sheetView workbookViewId="0">
      <selection activeCell="F1" sqref="F1"/>
    </sheetView>
  </sheetViews>
  <sheetFormatPr defaultColWidth="8.7109375" defaultRowHeight="15"/>
  <cols>
    <col min="1" max="1" width="30" customWidth="1"/>
    <col min="2" max="2" width="15" customWidth="1"/>
    <col min="3" max="3" width="22" customWidth="1"/>
    <col min="4" max="4" width="18" customWidth="1"/>
    <col min="5" max="5" width="50" customWidth="1"/>
  </cols>
  <sheetData>
    <row r="1" spans="1:5" ht="19.5" customHeight="1">
      <c r="A1" s="44" t="s">
        <v>100</v>
      </c>
      <c r="B1" s="45"/>
      <c r="C1" s="45"/>
      <c r="D1" s="45"/>
      <c r="E1" s="45"/>
    </row>
    <row r="3" spans="1:5" ht="16.5" customHeight="1">
      <c r="A3" s="2" t="s">
        <v>1</v>
      </c>
      <c r="B3" s="2" t="s">
        <v>2</v>
      </c>
      <c r="C3" s="2" t="s">
        <v>3</v>
      </c>
      <c r="D3" s="2" t="s">
        <v>4</v>
      </c>
      <c r="E3" s="2"/>
    </row>
    <row r="4" spans="1:5" ht="15" customHeight="1">
      <c r="A4" s="46" t="s">
        <v>5</v>
      </c>
      <c r="B4" s="45"/>
      <c r="C4" s="45"/>
      <c r="D4" s="45"/>
      <c r="E4" s="45"/>
    </row>
    <row r="5" spans="1:5" ht="16.5" customHeight="1">
      <c r="A5" s="3" t="s">
        <v>6</v>
      </c>
      <c r="B5" s="4">
        <v>18180</v>
      </c>
      <c r="C5" s="5" t="s">
        <v>7</v>
      </c>
      <c r="D5" s="41" t="s">
        <v>101</v>
      </c>
      <c r="E5" s="42"/>
    </row>
    <row r="6" spans="1:5" ht="16.5" customHeight="1">
      <c r="A6" s="3" t="s">
        <v>9</v>
      </c>
      <c r="B6" s="4">
        <v>0</v>
      </c>
      <c r="C6" s="5" t="s">
        <v>7</v>
      </c>
      <c r="D6" s="41" t="s">
        <v>102</v>
      </c>
      <c r="E6" s="42"/>
    </row>
    <row r="7" spans="1:5" ht="16.5" customHeight="1">
      <c r="A7" s="3" t="s">
        <v>11</v>
      </c>
      <c r="B7" s="6">
        <v>5.0000000000000001E-3</v>
      </c>
      <c r="C7" s="5" t="s">
        <v>12</v>
      </c>
      <c r="D7" s="43" t="s">
        <v>13</v>
      </c>
      <c r="E7" s="42"/>
    </row>
    <row r="8" spans="1:5" ht="15" customHeight="1">
      <c r="A8" s="3" t="s">
        <v>14</v>
      </c>
      <c r="B8" s="7">
        <v>25</v>
      </c>
      <c r="C8" s="3" t="s">
        <v>15</v>
      </c>
      <c r="D8" s="43" t="s">
        <v>16</v>
      </c>
      <c r="E8" s="42"/>
    </row>
    <row r="9" spans="1:5" ht="16.5" customHeight="1">
      <c r="A9" s="3" t="s">
        <v>17</v>
      </c>
      <c r="B9" s="8">
        <f>C37</f>
        <v>138.67789096000001</v>
      </c>
      <c r="C9" s="3" t="s">
        <v>18</v>
      </c>
      <c r="D9" s="41" t="s">
        <v>19</v>
      </c>
      <c r="E9" s="42"/>
    </row>
    <row r="10" spans="1:5" ht="16.5" customHeight="1">
      <c r="A10" s="3" t="s">
        <v>20</v>
      </c>
      <c r="B10" s="6">
        <v>0.05</v>
      </c>
      <c r="C10" s="5" t="s">
        <v>12</v>
      </c>
      <c r="D10" s="43" t="s">
        <v>21</v>
      </c>
      <c r="E10" s="42"/>
    </row>
    <row r="11" spans="1:5" ht="16.5" customHeight="1">
      <c r="A11" s="3" t="s">
        <v>22</v>
      </c>
      <c r="B11" s="6">
        <v>0.02</v>
      </c>
      <c r="C11" s="5" t="s">
        <v>12</v>
      </c>
      <c r="D11" s="41" t="s">
        <v>23</v>
      </c>
      <c r="E11" s="42"/>
    </row>
    <row r="12" spans="1:5" ht="16.5" customHeight="1">
      <c r="A12" s="3" t="s">
        <v>24</v>
      </c>
      <c r="B12" s="6">
        <v>5.5E-2</v>
      </c>
      <c r="C12" s="5" t="s">
        <v>12</v>
      </c>
      <c r="D12" s="41" t="s">
        <v>25</v>
      </c>
      <c r="E12" s="42"/>
    </row>
    <row r="14" spans="1:5" ht="16.5" customHeight="1">
      <c r="A14" s="46" t="s">
        <v>26</v>
      </c>
      <c r="B14" s="45"/>
      <c r="C14" s="45"/>
      <c r="D14" s="45"/>
      <c r="E14" s="45"/>
    </row>
    <row r="15" spans="1:5" ht="15" customHeight="1">
      <c r="A15" s="3" t="s">
        <v>27</v>
      </c>
      <c r="B15" s="9">
        <f>300000*96</f>
        <v>28800000</v>
      </c>
      <c r="C15" s="3" t="s">
        <v>28</v>
      </c>
      <c r="D15" s="41" t="s">
        <v>103</v>
      </c>
      <c r="E15" s="42"/>
    </row>
    <row r="16" spans="1:5" ht="16.5" customHeight="1">
      <c r="A16" s="3" t="s">
        <v>30</v>
      </c>
      <c r="B16" s="9">
        <v>0</v>
      </c>
      <c r="C16" s="3" t="s">
        <v>28</v>
      </c>
      <c r="D16" s="41" t="s">
        <v>104</v>
      </c>
      <c r="E16" s="42"/>
    </row>
    <row r="17" spans="1:5" ht="16.5" customHeight="1">
      <c r="A17" s="3" t="s">
        <v>31</v>
      </c>
      <c r="B17" s="8">
        <v>5000000</v>
      </c>
      <c r="C17" s="3" t="s">
        <v>28</v>
      </c>
      <c r="D17" s="41" t="s">
        <v>105</v>
      </c>
      <c r="E17" s="42"/>
    </row>
    <row r="18" spans="1:5" ht="16.5" customHeight="1">
      <c r="A18" s="3" t="s">
        <v>32</v>
      </c>
      <c r="B18" s="8">
        <f>5000000</f>
        <v>5000000</v>
      </c>
      <c r="C18" s="3" t="s">
        <v>28</v>
      </c>
      <c r="D18" s="48" t="s">
        <v>106</v>
      </c>
      <c r="E18" s="42"/>
    </row>
    <row r="19" spans="1:5" ht="15" customHeight="1">
      <c r="A19" s="3" t="s">
        <v>33</v>
      </c>
      <c r="B19" s="8">
        <v>0</v>
      </c>
      <c r="C19" s="3" t="s">
        <v>28</v>
      </c>
      <c r="D19" s="41" t="s">
        <v>107</v>
      </c>
      <c r="E19" s="42"/>
    </row>
    <row r="20" spans="1:5" ht="16.5" customHeight="1">
      <c r="A20" s="3" t="s">
        <v>34</v>
      </c>
      <c r="B20" s="8">
        <f>3000000</f>
        <v>3000000</v>
      </c>
      <c r="C20" s="3" t="s">
        <v>28</v>
      </c>
      <c r="D20" s="41" t="s">
        <v>108</v>
      </c>
      <c r="E20" s="42"/>
    </row>
    <row r="21" spans="1:5" ht="16.5" customHeight="1">
      <c r="A21" s="3" t="s">
        <v>35</v>
      </c>
      <c r="B21" s="8">
        <v>4000000</v>
      </c>
      <c r="C21" s="3" t="s">
        <v>28</v>
      </c>
      <c r="D21" s="41" t="s">
        <v>109</v>
      </c>
      <c r="E21" s="42"/>
    </row>
    <row r="22" spans="1:5" ht="16.5" customHeight="1">
      <c r="A22" s="3" t="s">
        <v>36</v>
      </c>
      <c r="B22" s="8">
        <f>2500000</f>
        <v>2500000</v>
      </c>
      <c r="C22" s="3" t="s">
        <v>28</v>
      </c>
      <c r="D22" s="41" t="s">
        <v>108</v>
      </c>
      <c r="E22" s="42"/>
    </row>
    <row r="23" spans="1:5" ht="16.5" customHeight="1">
      <c r="A23" s="10" t="s">
        <v>37</v>
      </c>
      <c r="B23" s="11">
        <f>SUM(B15:B22)</f>
        <v>48300000</v>
      </c>
      <c r="C23" s="12" t="s">
        <v>28</v>
      </c>
      <c r="D23" s="13"/>
      <c r="E23" s="13"/>
    </row>
    <row r="25" spans="1:5" ht="16.5" customHeight="1">
      <c r="A25" s="46" t="s">
        <v>38</v>
      </c>
      <c r="B25" s="45"/>
      <c r="C25" s="45"/>
      <c r="D25" s="45"/>
      <c r="E25" s="45"/>
    </row>
    <row r="26" spans="1:5" ht="16.5" customHeight="1">
      <c r="A26" s="5" t="s">
        <v>39</v>
      </c>
      <c r="B26" s="6">
        <v>1.2E-2</v>
      </c>
      <c r="C26" s="5" t="s">
        <v>12</v>
      </c>
      <c r="D26" s="43" t="s">
        <v>110</v>
      </c>
      <c r="E26" s="42"/>
    </row>
    <row r="27" spans="1:5" ht="16.5" customHeight="1">
      <c r="A27" s="5" t="s">
        <v>41</v>
      </c>
      <c r="B27" s="14">
        <f>B23*B26</f>
        <v>579600</v>
      </c>
      <c r="C27" s="3" t="s">
        <v>42</v>
      </c>
      <c r="D27" s="41" t="s">
        <v>43</v>
      </c>
      <c r="E27" s="42"/>
    </row>
    <row r="28" spans="1:5" ht="15" customHeight="1">
      <c r="A28" s="3" t="s">
        <v>44</v>
      </c>
      <c r="B28" s="7">
        <v>99</v>
      </c>
      <c r="C28" s="3" t="s">
        <v>45</v>
      </c>
      <c r="D28" s="41" t="s">
        <v>111</v>
      </c>
      <c r="E28" s="42"/>
    </row>
    <row r="29" spans="1:5" ht="16.5" customHeight="1">
      <c r="A29" s="3" t="s">
        <v>47</v>
      </c>
      <c r="B29" s="14">
        <v>0</v>
      </c>
      <c r="C29" s="3" t="s">
        <v>28</v>
      </c>
      <c r="D29" s="41" t="s">
        <v>10</v>
      </c>
      <c r="E29" s="42"/>
    </row>
    <row r="30" spans="1:5" ht="16.5" customHeight="1">
      <c r="A30" s="3" t="s">
        <v>48</v>
      </c>
      <c r="B30" s="7">
        <v>40</v>
      </c>
      <c r="C30" s="5" t="s">
        <v>49</v>
      </c>
      <c r="D30" s="43" t="s">
        <v>112</v>
      </c>
      <c r="E30" s="42"/>
    </row>
    <row r="32" spans="1:5" ht="15" customHeight="1">
      <c r="A32" s="47" t="s">
        <v>51</v>
      </c>
      <c r="B32" s="45"/>
      <c r="C32" s="45"/>
      <c r="D32" s="45"/>
      <c r="E32" s="45"/>
    </row>
    <row r="33" spans="1:6" ht="16.5" customHeight="1">
      <c r="A33" s="15" t="s">
        <v>52</v>
      </c>
      <c r="B33" s="15" t="s">
        <v>53</v>
      </c>
      <c r="C33" s="15" t="s">
        <v>54</v>
      </c>
      <c r="D33" s="15" t="s">
        <v>55</v>
      </c>
      <c r="E33" s="15" t="s">
        <v>56</v>
      </c>
      <c r="F33" s="16"/>
    </row>
    <row r="34" spans="1:6" ht="16.5" customHeight="1">
      <c r="A34" s="17" t="s">
        <v>57</v>
      </c>
      <c r="B34" s="18" t="s">
        <v>58</v>
      </c>
      <c r="C34" s="19">
        <f>(132.4+$B$42+$B$43)*(1+$B$44+$B$45)</f>
        <v>164.99280000000002</v>
      </c>
      <c r="D34" s="20">
        <v>0.22420000000000001</v>
      </c>
      <c r="E34" s="21" t="s">
        <v>59</v>
      </c>
      <c r="F34" s="22"/>
    </row>
    <row r="35" spans="1:6" ht="16.5" customHeight="1">
      <c r="A35" s="17" t="s">
        <v>60</v>
      </c>
      <c r="B35" s="18" t="s">
        <v>61</v>
      </c>
      <c r="C35" s="21">
        <f>(91.9+$B$42+$B$43)*(1+$B$44+$B$45)</f>
        <v>119.3493</v>
      </c>
      <c r="D35" s="20">
        <v>0.47799999999999998</v>
      </c>
      <c r="E35" s="21" t="s">
        <v>62</v>
      </c>
      <c r="F35" s="22"/>
    </row>
    <row r="36" spans="1:6" ht="16.5" customHeight="1">
      <c r="A36" s="17" t="s">
        <v>63</v>
      </c>
      <c r="B36" s="18" t="s">
        <v>64</v>
      </c>
      <c r="C36" s="21">
        <f>(119+$B$42+$B$43)*(1+$B$44+$B$45)</f>
        <v>149.89099999999999</v>
      </c>
      <c r="D36" s="20">
        <v>0.29780000000000001</v>
      </c>
      <c r="E36" s="21" t="s">
        <v>65</v>
      </c>
      <c r="F36" s="22"/>
    </row>
    <row r="37" spans="1:6" ht="16.5" customHeight="1">
      <c r="A37" s="23" t="s">
        <v>66</v>
      </c>
      <c r="C37" s="24">
        <f>SUMPRODUCT(C34:C36,D34:D36)</f>
        <v>138.67789096000001</v>
      </c>
      <c r="D37" s="25">
        <f>SUM(D34:D36)</f>
        <v>1</v>
      </c>
      <c r="E37" s="24"/>
      <c r="F37" s="26"/>
    </row>
    <row r="39" spans="1:6" ht="16.5" customHeight="1">
      <c r="A39" s="27" t="s">
        <v>67</v>
      </c>
      <c r="B39" s="28">
        <v>6160</v>
      </c>
      <c r="C39" s="29" t="s">
        <v>68</v>
      </c>
      <c r="D39" s="30" t="s">
        <v>69</v>
      </c>
    </row>
    <row r="41" spans="1:6" ht="15" customHeight="1">
      <c r="A41" s="47" t="s">
        <v>70</v>
      </c>
      <c r="B41" s="45"/>
      <c r="C41" s="45"/>
      <c r="D41" s="45"/>
      <c r="E41" s="45"/>
    </row>
    <row r="42" spans="1:6" ht="16.5" customHeight="1">
      <c r="A42" s="31" t="s">
        <v>71</v>
      </c>
      <c r="B42" s="32">
        <v>9</v>
      </c>
      <c r="C42" s="3" t="s">
        <v>18</v>
      </c>
      <c r="D42" s="41" t="s">
        <v>72</v>
      </c>
      <c r="E42" s="42"/>
    </row>
    <row r="43" spans="1:6" ht="16.5" customHeight="1">
      <c r="A43" s="31" t="s">
        <v>73</v>
      </c>
      <c r="B43" s="32">
        <v>5</v>
      </c>
      <c r="C43" s="3" t="s">
        <v>18</v>
      </c>
      <c r="D43" s="41" t="s">
        <v>74</v>
      </c>
      <c r="E43" s="42"/>
    </row>
    <row r="44" spans="1:6" ht="14.25" customHeight="1">
      <c r="A44" s="31" t="s">
        <v>75</v>
      </c>
      <c r="B44" s="6">
        <v>0.1</v>
      </c>
      <c r="C44" s="5" t="s">
        <v>76</v>
      </c>
      <c r="D44" s="41" t="s">
        <v>77</v>
      </c>
      <c r="E44" s="42"/>
    </row>
    <row r="45" spans="1:6" ht="14.25" customHeight="1">
      <c r="A45" s="31" t="s">
        <v>78</v>
      </c>
      <c r="B45" s="6">
        <v>2.7E-2</v>
      </c>
      <c r="C45" s="5" t="s">
        <v>76</v>
      </c>
      <c r="D45" s="41" t="s">
        <v>79</v>
      </c>
      <c r="E45" s="42"/>
    </row>
  </sheetData>
  <mergeCells count="31">
    <mergeCell ref="D44:E44"/>
    <mergeCell ref="D30:E30"/>
    <mergeCell ref="D42:E42"/>
    <mergeCell ref="D15:E15"/>
    <mergeCell ref="D29:E29"/>
    <mergeCell ref="D5:E5"/>
    <mergeCell ref="D26:E26"/>
    <mergeCell ref="D45:E45"/>
    <mergeCell ref="D21:E21"/>
    <mergeCell ref="D6:E6"/>
    <mergeCell ref="D11:E11"/>
    <mergeCell ref="A25:E25"/>
    <mergeCell ref="D27:E27"/>
    <mergeCell ref="A41:E41"/>
    <mergeCell ref="D17:E17"/>
    <mergeCell ref="D16:E16"/>
    <mergeCell ref="D7:E7"/>
    <mergeCell ref="D43:E43"/>
    <mergeCell ref="D28:E28"/>
    <mergeCell ref="A32:E32"/>
    <mergeCell ref="A14:E14"/>
    <mergeCell ref="D18:E18"/>
    <mergeCell ref="D9:E9"/>
    <mergeCell ref="D20:E20"/>
    <mergeCell ref="D10:E10"/>
    <mergeCell ref="D19:E19"/>
    <mergeCell ref="A1:E1"/>
    <mergeCell ref="D22:E22"/>
    <mergeCell ref="D12:E12"/>
    <mergeCell ref="D8:E8"/>
    <mergeCell ref="A4:E4"/>
  </mergeCells>
  <phoneticPr fontId="1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9"/>
  <sheetViews>
    <sheetView workbookViewId="0">
      <selection sqref="A1:L1"/>
    </sheetView>
  </sheetViews>
  <sheetFormatPr defaultColWidth="8.7109375" defaultRowHeight="15"/>
  <cols>
    <col min="1" max="1" width="6" customWidth="1"/>
    <col min="2" max="4" width="12" customWidth="1"/>
    <col min="5" max="6" width="14" customWidth="1"/>
    <col min="7" max="8" width="12" customWidth="1"/>
    <col min="9" max="9" width="14" customWidth="1"/>
    <col min="10" max="10" width="9" customWidth="1"/>
    <col min="11" max="11" width="14" customWidth="1"/>
    <col min="12" max="12" width="15" customWidth="1"/>
  </cols>
  <sheetData>
    <row r="1" spans="1:12" ht="19.5" customHeight="1">
      <c r="A1" s="44" t="s">
        <v>113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</row>
    <row r="3" spans="1:12" ht="32.25" customHeight="1">
      <c r="A3" s="2" t="s">
        <v>81</v>
      </c>
      <c r="B3" s="2" t="s">
        <v>82</v>
      </c>
      <c r="C3" s="2" t="s">
        <v>83</v>
      </c>
      <c r="D3" s="2" t="s">
        <v>84</v>
      </c>
      <c r="E3" s="2" t="s">
        <v>85</v>
      </c>
      <c r="F3" s="2" t="s">
        <v>86</v>
      </c>
      <c r="G3" s="33" t="s">
        <v>87</v>
      </c>
      <c r="H3" s="2" t="s">
        <v>88</v>
      </c>
      <c r="I3" s="2" t="s">
        <v>89</v>
      </c>
      <c r="J3" s="2" t="s">
        <v>90</v>
      </c>
      <c r="K3" s="2" t="s">
        <v>91</v>
      </c>
      <c r="L3" s="2" t="s">
        <v>92</v>
      </c>
    </row>
    <row r="4" spans="1:12" ht="15" customHeight="1">
      <c r="A4" s="34">
        <v>0</v>
      </c>
      <c r="B4" s="4"/>
      <c r="C4" s="4"/>
      <c r="D4" s="4"/>
      <c r="E4" s="4"/>
      <c r="F4" s="9"/>
      <c r="G4" s="9"/>
      <c r="H4" s="9"/>
      <c r="I4" s="35">
        <f>-가정_Case2!$B$23</f>
        <v>-48300000</v>
      </c>
      <c r="J4" s="36">
        <v>1</v>
      </c>
      <c r="K4" s="35">
        <f>I4</f>
        <v>-48300000</v>
      </c>
      <c r="L4" s="35">
        <f>K4</f>
        <v>-48300000</v>
      </c>
    </row>
    <row r="5" spans="1:12" ht="15" customHeight="1">
      <c r="A5" s="34">
        <v>1</v>
      </c>
      <c r="B5" s="37">
        <f>가정_Case2!$B$5*(1-가정_Case2!$B$7)^(A5-1)</f>
        <v>18180</v>
      </c>
      <c r="C5" s="37">
        <f>가정_Case2!$B$6</f>
        <v>0</v>
      </c>
      <c r="D5" s="37">
        <f t="shared" ref="D5:D29" si="0">B5-C5</f>
        <v>18180</v>
      </c>
      <c r="E5" s="37">
        <f>가정_Case2!$B$9*(1+가정_Case2!$B$10)^(A5-1)</f>
        <v>138.67789096000001</v>
      </c>
      <c r="F5" s="35">
        <f t="shared" ref="F5:F29" si="1">D5*E5</f>
        <v>2521164.0576528003</v>
      </c>
      <c r="G5" s="35">
        <f>가정_Case2!$B$27*(1+가정_Case2!$B$11)^(A5-1)</f>
        <v>579600</v>
      </c>
      <c r="H5" s="35">
        <f>IF(A5=가정_Case2!$B$28,가정_Case2!$B$29*(1+가정_Case2!$B$11)^A5,0)</f>
        <v>0</v>
      </c>
      <c r="I5" s="35">
        <f t="shared" ref="I5:I29" si="2">F5-G5-H5</f>
        <v>1941564.0576528003</v>
      </c>
      <c r="J5" s="36">
        <f>1/(1+가정_Case2!$B$12)^A5</f>
        <v>0.94786729857819907</v>
      </c>
      <c r="K5" s="35">
        <f t="shared" ref="K5:K29" si="3">I5*J5</f>
        <v>1840345.0783438866</v>
      </c>
      <c r="L5" s="35">
        <f t="shared" ref="L5:L29" si="4">L4+K5</f>
        <v>-46459654.921656117</v>
      </c>
    </row>
    <row r="6" spans="1:12" ht="15" customHeight="1">
      <c r="A6" s="34">
        <v>2</v>
      </c>
      <c r="B6" s="37">
        <f>가정_Case2!$B$5*(1-가정_Case2!$B$7)^(A6-1)</f>
        <v>18089.099999999999</v>
      </c>
      <c r="C6" s="37">
        <f>가정_Case2!$B$6</f>
        <v>0</v>
      </c>
      <c r="D6" s="37">
        <f t="shared" si="0"/>
        <v>18089.099999999999</v>
      </c>
      <c r="E6" s="37">
        <f>가정_Case2!$B$9*(1+가정_Case2!$B$10)^(A6-1)</f>
        <v>145.61178550800003</v>
      </c>
      <c r="F6" s="35">
        <f t="shared" si="1"/>
        <v>2633986.1492327629</v>
      </c>
      <c r="G6" s="35">
        <f>가정_Case2!$B$27*(1+가정_Case2!$B$11)^(A6-1)</f>
        <v>591192</v>
      </c>
      <c r="H6" s="35">
        <f>IF(A6=가정_Case2!$B$28,가정_Case2!$B$29*(1+가정_Case2!$B$11)^A6,0)</f>
        <v>0</v>
      </c>
      <c r="I6" s="35">
        <f t="shared" si="2"/>
        <v>2042794.1492327629</v>
      </c>
      <c r="J6" s="36">
        <f>1/(1+가정_Case2!$B$12)^A6</f>
        <v>0.89845241571393286</v>
      </c>
      <c r="K6" s="35">
        <f t="shared" si="3"/>
        <v>1835353.338184464</v>
      </c>
      <c r="L6" s="35">
        <f t="shared" si="4"/>
        <v>-44624301.583471656</v>
      </c>
    </row>
    <row r="7" spans="1:12" ht="15" customHeight="1">
      <c r="A7" s="34">
        <v>3</v>
      </c>
      <c r="B7" s="37">
        <f>가정_Case2!$B$5*(1-가정_Case2!$B$7)^(A7-1)</f>
        <v>17998.654500000001</v>
      </c>
      <c r="C7" s="37">
        <f>가정_Case2!$B$6</f>
        <v>0</v>
      </c>
      <c r="D7" s="37">
        <f t="shared" si="0"/>
        <v>17998.654500000001</v>
      </c>
      <c r="E7" s="37">
        <f>가정_Case2!$B$9*(1+가정_Case2!$B$10)^(A7-1)</f>
        <v>152.89237478340002</v>
      </c>
      <c r="F7" s="35">
        <f t="shared" si="1"/>
        <v>2751857.0294109294</v>
      </c>
      <c r="G7" s="35">
        <f>가정_Case2!$B$27*(1+가정_Case2!$B$11)^(A7-1)</f>
        <v>603015.84</v>
      </c>
      <c r="H7" s="35">
        <f>IF(A7=가정_Case2!$B$28,가정_Case2!$B$29*(1+가정_Case2!$B$11)^A7,0)</f>
        <v>0</v>
      </c>
      <c r="I7" s="35">
        <f t="shared" si="2"/>
        <v>2148841.1894109296</v>
      </c>
      <c r="J7" s="36">
        <f>1/(1+가정_Case2!$B$12)^A7</f>
        <v>0.85161366418382267</v>
      </c>
      <c r="K7" s="35">
        <f t="shared" si="3"/>
        <v>1829982.5190633654</v>
      </c>
      <c r="L7" s="35">
        <f t="shared" si="4"/>
        <v>-42794319.064408287</v>
      </c>
    </row>
    <row r="8" spans="1:12" ht="15" customHeight="1">
      <c r="A8" s="34">
        <v>4</v>
      </c>
      <c r="B8" s="37">
        <f>가정_Case2!$B$5*(1-가정_Case2!$B$7)^(A8-1)</f>
        <v>17908.661227500001</v>
      </c>
      <c r="C8" s="37">
        <f>가정_Case2!$B$6</f>
        <v>0</v>
      </c>
      <c r="D8" s="37">
        <f t="shared" si="0"/>
        <v>17908.661227500001</v>
      </c>
      <c r="E8" s="37">
        <f>가정_Case2!$B$9*(1+가정_Case2!$B$10)^(A8-1)</f>
        <v>160.53699352257004</v>
      </c>
      <c r="F8" s="35">
        <f t="shared" si="1"/>
        <v>2875002.6314770691</v>
      </c>
      <c r="G8" s="35">
        <f>가정_Case2!$B$27*(1+가정_Case2!$B$11)^(A8-1)</f>
        <v>615076.1568</v>
      </c>
      <c r="H8" s="35">
        <f>IF(A8=가정_Case2!$B$28,가정_Case2!$B$29*(1+가정_Case2!$B$11)^A8,0)</f>
        <v>0</v>
      </c>
      <c r="I8" s="35">
        <f t="shared" si="2"/>
        <v>2259926.4746770691</v>
      </c>
      <c r="J8" s="36">
        <f>1/(1+가정_Case2!$B$12)^A8</f>
        <v>0.80721674330220161</v>
      </c>
      <c r="K8" s="35">
        <f t="shared" si="3"/>
        <v>1824250.4889912491</v>
      </c>
      <c r="L8" s="35">
        <f t="shared" si="4"/>
        <v>-40970068.575417042</v>
      </c>
    </row>
    <row r="9" spans="1:12" ht="15" customHeight="1">
      <c r="A9" s="34">
        <v>5</v>
      </c>
      <c r="B9" s="37">
        <f>가정_Case2!$B$5*(1-가정_Case2!$B$7)^(A9-1)</f>
        <v>17819.1179213625</v>
      </c>
      <c r="C9" s="37">
        <f>가정_Case2!$B$6</f>
        <v>0</v>
      </c>
      <c r="D9" s="37">
        <f t="shared" si="0"/>
        <v>17819.1179213625</v>
      </c>
      <c r="E9" s="37">
        <f>가정_Case2!$B$9*(1+가정_Case2!$B$10)^(A9-1)</f>
        <v>168.56384319869852</v>
      </c>
      <c r="F9" s="35">
        <f t="shared" si="1"/>
        <v>3003658.9992356673</v>
      </c>
      <c r="G9" s="35">
        <f>가정_Case2!$B$27*(1+가정_Case2!$B$11)^(A9-1)</f>
        <v>627377.67993600003</v>
      </c>
      <c r="H9" s="35">
        <f>IF(A9=가정_Case2!$B$28,가정_Case2!$B$29*(1+가정_Case2!$B$11)^A9,0)</f>
        <v>0</v>
      </c>
      <c r="I9" s="35">
        <f t="shared" si="2"/>
        <v>2376281.3192996671</v>
      </c>
      <c r="J9" s="36">
        <f>1/(1+가정_Case2!$B$12)^A9</f>
        <v>0.76513435384094941</v>
      </c>
      <c r="K9" s="35">
        <f t="shared" si="3"/>
        <v>1818174.4717866697</v>
      </c>
      <c r="L9" s="35">
        <f t="shared" si="4"/>
        <v>-39151894.103630371</v>
      </c>
    </row>
    <row r="10" spans="1:12" ht="15" customHeight="1">
      <c r="A10" s="34">
        <v>6</v>
      </c>
      <c r="B10" s="37">
        <f>가정_Case2!$B$5*(1-가정_Case2!$B$7)^(A10-1)</f>
        <v>17730.022331755688</v>
      </c>
      <c r="C10" s="37">
        <f>가정_Case2!$B$6</f>
        <v>0</v>
      </c>
      <c r="D10" s="37">
        <f t="shared" si="0"/>
        <v>17730.022331755688</v>
      </c>
      <c r="E10" s="37">
        <f>가정_Case2!$B$9*(1+가정_Case2!$B$10)^(A10-1)</f>
        <v>176.99203535863347</v>
      </c>
      <c r="F10" s="35">
        <f t="shared" si="1"/>
        <v>3138072.7394514638</v>
      </c>
      <c r="G10" s="35">
        <f>가정_Case2!$B$27*(1+가정_Case2!$B$11)^(A10-1)</f>
        <v>639925.23353472003</v>
      </c>
      <c r="H10" s="35">
        <f>IF(A10=가정_Case2!$B$28,가정_Case2!$B$29*(1+가정_Case2!$B$11)^A10,0)</f>
        <v>0</v>
      </c>
      <c r="I10" s="35">
        <f t="shared" si="2"/>
        <v>2498147.5059167435</v>
      </c>
      <c r="J10" s="36">
        <f>1/(1+가정_Case2!$B$12)^A10</f>
        <v>0.72524583302459655</v>
      </c>
      <c r="K10" s="35">
        <f t="shared" si="3"/>
        <v>1811771.0689469068</v>
      </c>
      <c r="L10" s="35">
        <f t="shared" si="4"/>
        <v>-37340123.034683466</v>
      </c>
    </row>
    <row r="11" spans="1:12" ht="15" customHeight="1">
      <c r="A11" s="34">
        <v>7</v>
      </c>
      <c r="B11" s="37">
        <f>가정_Case2!$B$5*(1-가정_Case2!$B$7)^(A11-1)</f>
        <v>17641.37222009691</v>
      </c>
      <c r="C11" s="37">
        <f>가정_Case2!$B$6</f>
        <v>0</v>
      </c>
      <c r="D11" s="37">
        <f t="shared" si="0"/>
        <v>17641.37222009691</v>
      </c>
      <c r="E11" s="37">
        <f>가정_Case2!$B$9*(1+가정_Case2!$B$10)^(A11-1)</f>
        <v>185.8416371265651</v>
      </c>
      <c r="F11" s="35">
        <f t="shared" si="1"/>
        <v>3278501.4945419161</v>
      </c>
      <c r="G11" s="35">
        <f>가정_Case2!$B$27*(1+가정_Case2!$B$11)^(A11-1)</f>
        <v>652723.7382054145</v>
      </c>
      <c r="H11" s="35">
        <f>IF(A11=가정_Case2!$B$28,가정_Case2!$B$29*(1+가정_Case2!$B$11)^A11,0)</f>
        <v>0</v>
      </c>
      <c r="I11" s="35">
        <f t="shared" si="2"/>
        <v>2625777.7563365018</v>
      </c>
      <c r="J11" s="36">
        <f>1/(1+가정_Case2!$B$12)^A11</f>
        <v>0.68743680855412004</v>
      </c>
      <c r="K11" s="35">
        <f t="shared" si="3"/>
        <v>1805056.2807883627</v>
      </c>
      <c r="L11" s="35">
        <f t="shared" si="4"/>
        <v>-35535066.753895104</v>
      </c>
    </row>
    <row r="12" spans="1:12" ht="15" customHeight="1">
      <c r="A12" s="34">
        <v>8</v>
      </c>
      <c r="B12" s="37">
        <f>가정_Case2!$B$5*(1-가정_Case2!$B$7)^(A12-1)</f>
        <v>17553.165358996426</v>
      </c>
      <c r="C12" s="37">
        <f>가정_Case2!$B$6</f>
        <v>0</v>
      </c>
      <c r="D12" s="37">
        <f t="shared" si="0"/>
        <v>17553.165358996426</v>
      </c>
      <c r="E12" s="37">
        <f>가정_Case2!$B$9*(1+가정_Case2!$B$10)^(A12-1)</f>
        <v>195.13371898289341</v>
      </c>
      <c r="F12" s="35">
        <f t="shared" si="1"/>
        <v>3425214.4364226679</v>
      </c>
      <c r="G12" s="35">
        <f>가정_Case2!$B$27*(1+가정_Case2!$B$11)^(A12-1)</f>
        <v>665778.21296952257</v>
      </c>
      <c r="H12" s="35">
        <f>IF(A12=가정_Case2!$B$28,가정_Case2!$B$29*(1+가정_Case2!$B$11)^A12,0)</f>
        <v>0</v>
      </c>
      <c r="I12" s="35">
        <f t="shared" si="2"/>
        <v>2759436.2234531455</v>
      </c>
      <c r="J12" s="36">
        <f>1/(1+가정_Case2!$B$12)^A12</f>
        <v>0.6515988706674124</v>
      </c>
      <c r="K12" s="35">
        <f t="shared" si="3"/>
        <v>1798045.5268808191</v>
      </c>
      <c r="L12" s="35">
        <f t="shared" si="4"/>
        <v>-33737021.227014288</v>
      </c>
    </row>
    <row r="13" spans="1:12" ht="15" customHeight="1">
      <c r="A13" s="34">
        <v>9</v>
      </c>
      <c r="B13" s="37">
        <f>가정_Case2!$B$5*(1-가정_Case2!$B$7)^(A13-1)</f>
        <v>17465.399532201445</v>
      </c>
      <c r="C13" s="37">
        <f>가정_Case2!$B$6</f>
        <v>0</v>
      </c>
      <c r="D13" s="37">
        <f t="shared" si="0"/>
        <v>17465.399532201445</v>
      </c>
      <c r="E13" s="37">
        <f>가정_Case2!$B$9*(1+가정_Case2!$B$10)^(A13-1)</f>
        <v>204.89040493203805</v>
      </c>
      <c r="F13" s="35">
        <f t="shared" si="1"/>
        <v>3578492.7824525819</v>
      </c>
      <c r="G13" s="35">
        <f>가정_Case2!$B$27*(1+가정_Case2!$B$11)^(A13-1)</f>
        <v>679093.77722891315</v>
      </c>
      <c r="H13" s="35">
        <f>IF(A13=가정_Case2!$B$28,가정_Case2!$B$29*(1+가정_Case2!$B$11)^A13,0)</f>
        <v>0</v>
      </c>
      <c r="I13" s="35">
        <f t="shared" si="2"/>
        <v>2899399.0052236686</v>
      </c>
      <c r="J13" s="36">
        <f>1/(1+가정_Case2!$B$12)^A13</f>
        <v>0.6176292612961255</v>
      </c>
      <c r="K13" s="35">
        <f t="shared" si="3"/>
        <v>1790753.6657990157</v>
      </c>
      <c r="L13" s="35">
        <f t="shared" si="4"/>
        <v>-31946267.561215274</v>
      </c>
    </row>
    <row r="14" spans="1:12" ht="15" customHeight="1">
      <c r="A14" s="34">
        <v>10</v>
      </c>
      <c r="B14" s="37">
        <f>가정_Case2!$B$5*(1-가정_Case2!$B$7)^(A14-1)</f>
        <v>17378.072534540435</v>
      </c>
      <c r="C14" s="37">
        <f>가정_Case2!$B$6</f>
        <v>0</v>
      </c>
      <c r="D14" s="37">
        <f t="shared" si="0"/>
        <v>17378.072534540435</v>
      </c>
      <c r="E14" s="37">
        <f>가정_Case2!$B$9*(1+가정_Case2!$B$10)^(A14-1)</f>
        <v>215.13492517863997</v>
      </c>
      <c r="F14" s="35">
        <f t="shared" si="1"/>
        <v>3738630.3344673347</v>
      </c>
      <c r="G14" s="35">
        <f>가정_Case2!$B$27*(1+가정_Case2!$B$11)^(A14-1)</f>
        <v>692675.65277349134</v>
      </c>
      <c r="H14" s="35">
        <f>IF(A14=가정_Case2!$B$28,가정_Case2!$B$29*(1+가정_Case2!$B$11)^A14,0)</f>
        <v>0</v>
      </c>
      <c r="I14" s="35">
        <f t="shared" si="2"/>
        <v>3045954.6816938436</v>
      </c>
      <c r="J14" s="36">
        <f>1/(1+가정_Case2!$B$12)^A14</f>
        <v>0.58543057942760712</v>
      </c>
      <c r="K14" s="35">
        <f t="shared" si="3"/>
        <v>1783195.0142142596</v>
      </c>
      <c r="L14" s="35">
        <f t="shared" si="4"/>
        <v>-30163072.547001015</v>
      </c>
    </row>
    <row r="15" spans="1:12" ht="15" customHeight="1">
      <c r="A15" s="34">
        <v>11</v>
      </c>
      <c r="B15" s="37">
        <f>가정_Case2!$B$5*(1-가정_Case2!$B$7)^(A15-1)</f>
        <v>17291.182171867735</v>
      </c>
      <c r="C15" s="37">
        <f>가정_Case2!$B$6</f>
        <v>0</v>
      </c>
      <c r="D15" s="37">
        <f t="shared" si="0"/>
        <v>17291.182171867735</v>
      </c>
      <c r="E15" s="37">
        <f>가정_Case2!$B$9*(1+가정_Case2!$B$10)^(A15-1)</f>
        <v>225.89167143757197</v>
      </c>
      <c r="F15" s="35">
        <f t="shared" si="1"/>
        <v>3905934.0419347486</v>
      </c>
      <c r="G15" s="35">
        <f>가정_Case2!$B$27*(1+가정_Case2!$B$11)^(A15-1)</f>
        <v>706529.16582896118</v>
      </c>
      <c r="H15" s="35">
        <f>IF(A15=가정_Case2!$B$28,가정_Case2!$B$29*(1+가정_Case2!$B$11)^A15,0)</f>
        <v>0</v>
      </c>
      <c r="I15" s="35">
        <f t="shared" si="2"/>
        <v>3199404.8761057872</v>
      </c>
      <c r="J15" s="36">
        <f>1/(1+가정_Case2!$B$12)^A15</f>
        <v>0.55491050182711577</v>
      </c>
      <c r="K15" s="35">
        <f t="shared" si="3"/>
        <v>1775383.3653479835</v>
      </c>
      <c r="L15" s="35">
        <f t="shared" si="4"/>
        <v>-28387689.18165303</v>
      </c>
    </row>
    <row r="16" spans="1:12" ht="15" customHeight="1">
      <c r="A16" s="34">
        <v>12</v>
      </c>
      <c r="B16" s="37">
        <f>가정_Case2!$B$5*(1-가정_Case2!$B$7)^(A16-1)</f>
        <v>17204.726261008396</v>
      </c>
      <c r="C16" s="37">
        <f>가정_Case2!$B$6</f>
        <v>0</v>
      </c>
      <c r="D16" s="37">
        <f t="shared" si="0"/>
        <v>17204.726261008396</v>
      </c>
      <c r="E16" s="37">
        <f>가정_Case2!$B$9*(1+가정_Case2!$B$10)^(A16-1)</f>
        <v>237.18625500945058</v>
      </c>
      <c r="F16" s="35">
        <f t="shared" si="1"/>
        <v>4080724.5903113284</v>
      </c>
      <c r="G16" s="35">
        <f>가정_Case2!$B$27*(1+가정_Case2!$B$11)^(A16-1)</f>
        <v>720659.74914554029</v>
      </c>
      <c r="H16" s="35">
        <f>IF(A16=가정_Case2!$B$28,가정_Case2!$B$29*(1+가정_Case2!$B$11)^A16,0)</f>
        <v>0</v>
      </c>
      <c r="I16" s="35">
        <f t="shared" si="2"/>
        <v>3360064.841165788</v>
      </c>
      <c r="J16" s="36">
        <f>1/(1+가정_Case2!$B$12)^A16</f>
        <v>0.5259815183195411</v>
      </c>
      <c r="K16" s="35">
        <f t="shared" si="3"/>
        <v>1767332.0068084889</v>
      </c>
      <c r="L16" s="35">
        <f t="shared" si="4"/>
        <v>-26620357.174844541</v>
      </c>
    </row>
    <row r="17" spans="1:12" ht="15" customHeight="1">
      <c r="A17" s="34">
        <v>13</v>
      </c>
      <c r="B17" s="37">
        <f>가정_Case2!$B$5*(1-가정_Case2!$B$7)^(A17-1)</f>
        <v>17118.702629703355</v>
      </c>
      <c r="C17" s="37">
        <f>가정_Case2!$B$6</f>
        <v>0</v>
      </c>
      <c r="D17" s="37">
        <f t="shared" si="0"/>
        <v>17118.702629703355</v>
      </c>
      <c r="E17" s="37">
        <f>가정_Case2!$B$9*(1+가정_Case2!$B$10)^(A17-1)</f>
        <v>249.04556775992307</v>
      </c>
      <c r="F17" s="35">
        <f t="shared" si="1"/>
        <v>4263337.0157277603</v>
      </c>
      <c r="G17" s="35">
        <f>가정_Case2!$B$27*(1+가정_Case2!$B$11)^(A17-1)</f>
        <v>735072.94412845129</v>
      </c>
      <c r="H17" s="35">
        <f>IF(A17=가정_Case2!$B$28,가정_Case2!$B$29*(1+가정_Case2!$B$11)^A17,0)</f>
        <v>0</v>
      </c>
      <c r="I17" s="35">
        <f t="shared" si="2"/>
        <v>3528264.0715993089</v>
      </c>
      <c r="J17" s="36">
        <f>1/(1+가정_Case2!$B$12)^A17</f>
        <v>0.49856068087160293</v>
      </c>
      <c r="K17" s="35">
        <f t="shared" si="3"/>
        <v>1759053.7378313655</v>
      </c>
      <c r="L17" s="35">
        <f t="shared" si="4"/>
        <v>-24861303.437013175</v>
      </c>
    </row>
    <row r="18" spans="1:12" ht="15" customHeight="1">
      <c r="A18" s="34">
        <v>14</v>
      </c>
      <c r="B18" s="37">
        <f>가정_Case2!$B$5*(1-가정_Case2!$B$7)^(A18-1)</f>
        <v>17033.109116554839</v>
      </c>
      <c r="C18" s="37">
        <f>가정_Case2!$B$6</f>
        <v>0</v>
      </c>
      <c r="D18" s="37">
        <f t="shared" si="0"/>
        <v>17033.109116554839</v>
      </c>
      <c r="E18" s="37">
        <f>가정_Case2!$B$9*(1+가정_Case2!$B$10)^(A18-1)</f>
        <v>261.49784614791929</v>
      </c>
      <c r="F18" s="35">
        <f t="shared" si="1"/>
        <v>4454121.3471815791</v>
      </c>
      <c r="G18" s="35">
        <f>가정_Case2!$B$27*(1+가정_Case2!$B$11)^(A18-1)</f>
        <v>749774.40301102016</v>
      </c>
      <c r="H18" s="35">
        <f>IF(A18=가정_Case2!$B$28,가정_Case2!$B$29*(1+가정_Case2!$B$11)^A18,0)</f>
        <v>0</v>
      </c>
      <c r="I18" s="35">
        <f t="shared" si="2"/>
        <v>3704346.9441705588</v>
      </c>
      <c r="J18" s="36">
        <f>1/(1+가정_Case2!$B$12)^A18</f>
        <v>0.47256936575507386</v>
      </c>
      <c r="K18" s="35">
        <f t="shared" si="3"/>
        <v>1750560.885943427</v>
      </c>
      <c r="L18" s="35">
        <f t="shared" si="4"/>
        <v>-23110742.551069748</v>
      </c>
    </row>
    <row r="19" spans="1:12" ht="15" customHeight="1">
      <c r="A19" s="34">
        <v>15</v>
      </c>
      <c r="B19" s="37">
        <f>가정_Case2!$B$5*(1-가정_Case2!$B$7)^(A19-1)</f>
        <v>16947.943570972064</v>
      </c>
      <c r="C19" s="37">
        <f>가정_Case2!$B$6</f>
        <v>0</v>
      </c>
      <c r="D19" s="37">
        <f t="shared" si="0"/>
        <v>16947.943570972064</v>
      </c>
      <c r="E19" s="37">
        <f>가정_Case2!$B$9*(1+가정_Case2!$B$10)^(A19-1)</f>
        <v>274.57273845531518</v>
      </c>
      <c r="F19" s="35">
        <f t="shared" si="1"/>
        <v>4653443.277467953</v>
      </c>
      <c r="G19" s="35">
        <f>가정_Case2!$B$27*(1+가정_Case2!$B$11)^(A19-1)</f>
        <v>764769.89107124065</v>
      </c>
      <c r="H19" s="35">
        <f>IF(A19=가정_Case2!$B$28,가정_Case2!$B$29*(1+가정_Case2!$B$11)^A19,0)</f>
        <v>0</v>
      </c>
      <c r="I19" s="35">
        <f t="shared" si="2"/>
        <v>3888673.3863967126</v>
      </c>
      <c r="J19" s="36">
        <f>1/(1+가정_Case2!$B$12)^A19</f>
        <v>0.44793304810907481</v>
      </c>
      <c r="K19" s="35">
        <f t="shared" si="3"/>
        <v>1741865.3230693175</v>
      </c>
      <c r="L19" s="35">
        <f t="shared" si="4"/>
        <v>-21368877.228000429</v>
      </c>
    </row>
    <row r="20" spans="1:12" ht="15" customHeight="1">
      <c r="A20" s="34">
        <v>16</v>
      </c>
      <c r="B20" s="37">
        <f>가정_Case2!$B$5*(1-가정_Case2!$B$7)^(A20-1)</f>
        <v>16863.203853117204</v>
      </c>
      <c r="C20" s="37">
        <f>가정_Case2!$B$6</f>
        <v>0</v>
      </c>
      <c r="D20" s="37">
        <f t="shared" si="0"/>
        <v>16863.203853117204</v>
      </c>
      <c r="E20" s="37">
        <f>가정_Case2!$B$9*(1+가정_Case2!$B$10)^(A20-1)</f>
        <v>288.30137537808099</v>
      </c>
      <c r="F20" s="35">
        <f t="shared" si="1"/>
        <v>4861684.8641346451</v>
      </c>
      <c r="G20" s="35">
        <f>가정_Case2!$B$27*(1+가정_Case2!$B$11)^(A20-1)</f>
        <v>780065.2888926653</v>
      </c>
      <c r="H20" s="35">
        <f>IF(A20=가정_Case2!$B$28,가정_Case2!$B$29*(1+가정_Case2!$B$11)^A20,0)</f>
        <v>0</v>
      </c>
      <c r="I20" s="35">
        <f t="shared" si="2"/>
        <v>4081619.5752419797</v>
      </c>
      <c r="J20" s="36">
        <f>1/(1+가정_Case2!$B$12)^A20</f>
        <v>0.4245810882550472</v>
      </c>
      <c r="K20" s="35">
        <f t="shared" si="3"/>
        <v>1732978.4810993432</v>
      </c>
      <c r="L20" s="35">
        <f t="shared" si="4"/>
        <v>-19635898.746901084</v>
      </c>
    </row>
    <row r="21" spans="1:12" ht="15" customHeight="1">
      <c r="A21" s="34">
        <v>17</v>
      </c>
      <c r="B21" s="37">
        <f>가정_Case2!$B$5*(1-가정_Case2!$B$7)^(A21-1)</f>
        <v>16778.887833851619</v>
      </c>
      <c r="C21" s="37">
        <f>가정_Case2!$B$6</f>
        <v>0</v>
      </c>
      <c r="D21" s="37">
        <f t="shared" si="0"/>
        <v>16778.887833851619</v>
      </c>
      <c r="E21" s="37">
        <f>가정_Case2!$B$9*(1+가정_Case2!$B$10)^(A21-1)</f>
        <v>302.71644414698505</v>
      </c>
      <c r="F21" s="35">
        <f t="shared" si="1"/>
        <v>5079245.261804671</v>
      </c>
      <c r="G21" s="35">
        <f>가정_Case2!$B$27*(1+가정_Case2!$B$11)^(A21-1)</f>
        <v>795666.59467051877</v>
      </c>
      <c r="H21" s="35">
        <f>IF(A21=가정_Case2!$B$28,가정_Case2!$B$29*(1+가정_Case2!$B$11)^A21,0)</f>
        <v>0</v>
      </c>
      <c r="I21" s="35">
        <f t="shared" si="2"/>
        <v>4283578.6671341527</v>
      </c>
      <c r="J21" s="36">
        <f>1/(1+가정_Case2!$B$12)^A21</f>
        <v>0.40244652915170354</v>
      </c>
      <c r="K21" s="35">
        <f t="shared" si="3"/>
        <v>1723911.3669364201</v>
      </c>
      <c r="L21" s="35">
        <f t="shared" si="4"/>
        <v>-17911987.379964665</v>
      </c>
    </row>
    <row r="22" spans="1:12" ht="15" customHeight="1">
      <c r="A22" s="34">
        <v>18</v>
      </c>
      <c r="B22" s="37">
        <f>가정_Case2!$B$5*(1-가정_Case2!$B$7)^(A22-1)</f>
        <v>16694.993394682358</v>
      </c>
      <c r="C22" s="37">
        <f>가정_Case2!$B$6</f>
        <v>0</v>
      </c>
      <c r="D22" s="37">
        <f t="shared" si="0"/>
        <v>16694.993394682358</v>
      </c>
      <c r="E22" s="37">
        <f>가정_Case2!$B$9*(1+가정_Case2!$B$10)^(A22-1)</f>
        <v>317.85226635433435</v>
      </c>
      <c r="F22" s="35">
        <f t="shared" si="1"/>
        <v>5306541.4872704297</v>
      </c>
      <c r="G22" s="35">
        <f>가정_Case2!$B$27*(1+가정_Case2!$B$11)^(A22-1)</f>
        <v>811579.92656392918</v>
      </c>
      <c r="H22" s="35">
        <f>IF(A22=가정_Case2!$B$28,가정_Case2!$B$29*(1+가정_Case2!$B$11)^A22,0)</f>
        <v>0</v>
      </c>
      <c r="I22" s="35">
        <f t="shared" si="2"/>
        <v>4494961.5607065009</v>
      </c>
      <c r="J22" s="36">
        <f>1/(1+가정_Case2!$B$12)^A22</f>
        <v>0.38146590440919764</v>
      </c>
      <c r="K22" s="35">
        <f t="shared" si="3"/>
        <v>1714674.5770394839</v>
      </c>
      <c r="L22" s="35">
        <f t="shared" si="4"/>
        <v>-16197312.802925181</v>
      </c>
    </row>
    <row r="23" spans="1:12" ht="15" customHeight="1">
      <c r="A23" s="34">
        <v>19</v>
      </c>
      <c r="B23" s="37">
        <f>가정_Case2!$B$5*(1-가정_Case2!$B$7)^(A23-1)</f>
        <v>16611.518427708947</v>
      </c>
      <c r="C23" s="37">
        <f>가정_Case2!$B$6</f>
        <v>0</v>
      </c>
      <c r="D23" s="37">
        <f t="shared" si="0"/>
        <v>16611.518427708947</v>
      </c>
      <c r="E23" s="37">
        <f>가정_Case2!$B$9*(1+가정_Case2!$B$10)^(A23-1)</f>
        <v>333.74487967205107</v>
      </c>
      <c r="F23" s="35">
        <f t="shared" si="1"/>
        <v>5544009.2188257817</v>
      </c>
      <c r="G23" s="35">
        <f>가정_Case2!$B$27*(1+가정_Case2!$B$11)^(A23-1)</f>
        <v>827811.52509520762</v>
      </c>
      <c r="H23" s="35">
        <f>IF(A23=가정_Case2!$B$28,가정_Case2!$B$29*(1+가정_Case2!$B$11)^A23,0)</f>
        <v>0</v>
      </c>
      <c r="I23" s="35">
        <f t="shared" si="2"/>
        <v>4716197.6937305741</v>
      </c>
      <c r="J23" s="36">
        <f>1/(1+가정_Case2!$B$12)^A23</f>
        <v>0.36157905631203574</v>
      </c>
      <c r="K23" s="35">
        <f t="shared" si="3"/>
        <v>1705278.3114801003</v>
      </c>
      <c r="L23" s="35">
        <f t="shared" si="4"/>
        <v>-14492034.491445079</v>
      </c>
    </row>
    <row r="24" spans="1:12" ht="15" customHeight="1">
      <c r="A24" s="34">
        <v>20</v>
      </c>
      <c r="B24" s="37">
        <f>가정_Case2!$B$5*(1-가정_Case2!$B$7)^(A24-1)</f>
        <v>16528.460835570404</v>
      </c>
      <c r="C24" s="37">
        <f>가정_Case2!$B$6</f>
        <v>0</v>
      </c>
      <c r="D24" s="37">
        <f t="shared" si="0"/>
        <v>16528.460835570404</v>
      </c>
      <c r="E24" s="37">
        <f>가정_Case2!$B$9*(1+가정_Case2!$B$10)^(A24-1)</f>
        <v>350.43212365565358</v>
      </c>
      <c r="F24" s="35">
        <f t="shared" si="1"/>
        <v>5792103.6313682348</v>
      </c>
      <c r="G24" s="35">
        <f>가정_Case2!$B$27*(1+가정_Case2!$B$11)^(A24-1)</f>
        <v>844367.75559711177</v>
      </c>
      <c r="H24" s="35">
        <f>IF(A24=가정_Case2!$B$28,가정_Case2!$B$29*(1+가정_Case2!$B$11)^A24,0)</f>
        <v>0</v>
      </c>
      <c r="I24" s="35">
        <f t="shared" si="2"/>
        <v>4947735.875771123</v>
      </c>
      <c r="J24" s="36">
        <f>1/(1+가정_Case2!$B$12)^A24</f>
        <v>0.34272896332894381</v>
      </c>
      <c r="K24" s="35">
        <f t="shared" si="3"/>
        <v>1695732.3875284609</v>
      </c>
      <c r="L24" s="35">
        <f t="shared" si="4"/>
        <v>-12796302.103916619</v>
      </c>
    </row>
    <row r="25" spans="1:12" ht="15" customHeight="1">
      <c r="A25" s="34">
        <v>21</v>
      </c>
      <c r="B25" s="37">
        <f>가정_Case2!$B$5*(1-가정_Case2!$B$7)^(A25-1)</f>
        <v>16445.81853139255</v>
      </c>
      <c r="C25" s="37">
        <f>가정_Case2!$B$6</f>
        <v>0</v>
      </c>
      <c r="D25" s="37">
        <f t="shared" si="0"/>
        <v>16445.81853139255</v>
      </c>
      <c r="E25" s="37">
        <f>가정_Case2!$B$9*(1+가정_Case2!$B$10)^(A25-1)</f>
        <v>367.95372983843629</v>
      </c>
      <c r="F25" s="35">
        <f t="shared" si="1"/>
        <v>6051300.268871963</v>
      </c>
      <c r="G25" s="35">
        <f>가정_Case2!$B$27*(1+가정_Case2!$B$11)^(A25-1)</f>
        <v>861255.11070905416</v>
      </c>
      <c r="H25" s="35">
        <f>IF(A25=가정_Case2!$B$28,가정_Case2!$B$29*(1+가정_Case2!$B$11)^A25,0)</f>
        <v>0</v>
      </c>
      <c r="I25" s="35">
        <f t="shared" si="2"/>
        <v>5190045.1581629086</v>
      </c>
      <c r="J25" s="36">
        <f>1/(1+가정_Case2!$B$12)^A25</f>
        <v>0.32486157661511261</v>
      </c>
      <c r="K25" s="35">
        <f t="shared" si="3"/>
        <v>1686046.252784434</v>
      </c>
      <c r="L25" s="35">
        <f t="shared" si="4"/>
        <v>-11110255.851132184</v>
      </c>
    </row>
    <row r="26" spans="1:12" ht="15" customHeight="1">
      <c r="A26" s="34">
        <v>22</v>
      </c>
      <c r="B26" s="37">
        <f>가정_Case2!$B$5*(1-가정_Case2!$B$7)^(A26-1)</f>
        <v>16363.589438735589</v>
      </c>
      <c r="C26" s="37">
        <f>가정_Case2!$B$6</f>
        <v>0</v>
      </c>
      <c r="D26" s="37">
        <f t="shared" si="0"/>
        <v>16363.589438735589</v>
      </c>
      <c r="E26" s="37">
        <f>가정_Case2!$B$9*(1+가정_Case2!$B$10)^(A26-1)</f>
        <v>386.35141633035806</v>
      </c>
      <c r="F26" s="35">
        <f t="shared" si="1"/>
        <v>6322095.9559039837</v>
      </c>
      <c r="G26" s="35">
        <f>가정_Case2!$B$27*(1+가정_Case2!$B$11)^(A26-1)</f>
        <v>878480.21292323514</v>
      </c>
      <c r="H26" s="35">
        <f>IF(A26=가정_Case2!$B$28,가정_Case2!$B$29*(1+가정_Case2!$B$11)^A26,0)</f>
        <v>0</v>
      </c>
      <c r="I26" s="35">
        <f t="shared" si="2"/>
        <v>5443615.7429807484</v>
      </c>
      <c r="J26" s="36">
        <f>1/(1+가정_Case2!$B$12)^A26</f>
        <v>0.30792566503802149</v>
      </c>
      <c r="K26" s="35">
        <f t="shared" si="3"/>
        <v>1676228.9978687905</v>
      </c>
      <c r="L26" s="35">
        <f t="shared" si="4"/>
        <v>-9434026.853263393</v>
      </c>
    </row>
    <row r="27" spans="1:12" ht="15" customHeight="1">
      <c r="A27" s="34">
        <v>23</v>
      </c>
      <c r="B27" s="37">
        <f>가정_Case2!$B$5*(1-가정_Case2!$B$7)^(A27-1)</f>
        <v>16281.771491541911</v>
      </c>
      <c r="C27" s="37">
        <f>가정_Case2!$B$6</f>
        <v>0</v>
      </c>
      <c r="D27" s="37">
        <f t="shared" si="0"/>
        <v>16281.771491541911</v>
      </c>
      <c r="E27" s="37">
        <f>가정_Case2!$B$9*(1+가정_Case2!$B$10)^(A27-1)</f>
        <v>405.66898714687596</v>
      </c>
      <c r="F27" s="35">
        <f t="shared" si="1"/>
        <v>6605009.7499306872</v>
      </c>
      <c r="G27" s="35">
        <f>가정_Case2!$B$27*(1+가정_Case2!$B$11)^(A27-1)</f>
        <v>896049.81718169991</v>
      </c>
      <c r="H27" s="35">
        <f>IF(A27=가정_Case2!$B$28,가정_Case2!$B$29*(1+가정_Case2!$B$11)^A27,0)</f>
        <v>0</v>
      </c>
      <c r="I27" s="35">
        <f t="shared" si="2"/>
        <v>5708959.9327489873</v>
      </c>
      <c r="J27" s="36">
        <f>1/(1+가정_Case2!$B$12)^A27</f>
        <v>0.29187266828248482</v>
      </c>
      <c r="K27" s="35">
        <f t="shared" si="3"/>
        <v>1666289.3686892421</v>
      </c>
      <c r="L27" s="35">
        <f t="shared" si="4"/>
        <v>-7767737.4845741512</v>
      </c>
    </row>
    <row r="28" spans="1:12" ht="15" customHeight="1">
      <c r="A28" s="34">
        <v>24</v>
      </c>
      <c r="B28" s="37">
        <f>가정_Case2!$B$5*(1-가정_Case2!$B$7)^(A28-1)</f>
        <v>16200.3626340842</v>
      </c>
      <c r="C28" s="37">
        <f>가정_Case2!$B$6</f>
        <v>0</v>
      </c>
      <c r="D28" s="37">
        <f t="shared" si="0"/>
        <v>16200.3626340842</v>
      </c>
      <c r="E28" s="37">
        <f>가정_Case2!$B$9*(1+가정_Case2!$B$10)^(A28-1)</f>
        <v>425.9524365042198</v>
      </c>
      <c r="F28" s="35">
        <f t="shared" si="1"/>
        <v>6900583.9362400854</v>
      </c>
      <c r="G28" s="35">
        <f>가정_Case2!$B$27*(1+가정_Case2!$B$11)^(A28-1)</f>
        <v>913970.81352533377</v>
      </c>
      <c r="H28" s="35">
        <f>IF(A28=가정_Case2!$B$28,가정_Case2!$B$29*(1+가정_Case2!$B$11)^A28,0)</f>
        <v>0</v>
      </c>
      <c r="I28" s="35">
        <f t="shared" si="2"/>
        <v>5986613.1227147514</v>
      </c>
      <c r="J28" s="36">
        <f>1/(1+가정_Case2!$B$12)^A28</f>
        <v>0.2766565576137297</v>
      </c>
      <c r="K28" s="35">
        <f t="shared" si="3"/>
        <v>1656235.7782954439</v>
      </c>
      <c r="L28" s="35">
        <f t="shared" si="4"/>
        <v>-6111501.7062787078</v>
      </c>
    </row>
    <row r="29" spans="1:12" ht="15" customHeight="1">
      <c r="A29" s="34">
        <v>25</v>
      </c>
      <c r="B29" s="37">
        <f>가정_Case2!$B$5*(1-가정_Case2!$B$7)^(A29-1)</f>
        <v>16119.36082091378</v>
      </c>
      <c r="C29" s="37">
        <f>가정_Case2!$B$6</f>
        <v>0</v>
      </c>
      <c r="D29" s="37">
        <f t="shared" si="0"/>
        <v>16119.36082091378</v>
      </c>
      <c r="E29" s="37">
        <f>가정_Case2!$B$9*(1+가정_Case2!$B$10)^(A29-1)</f>
        <v>447.25005832943077</v>
      </c>
      <c r="F29" s="35">
        <f t="shared" si="1"/>
        <v>7209385.0673868293</v>
      </c>
      <c r="G29" s="35">
        <f>가정_Case2!$B$27*(1+가정_Case2!$B$11)^(A29-1)</f>
        <v>932250.22979584045</v>
      </c>
      <c r="H29" s="35">
        <f>IF(A29=가정_Case2!$B$28,가정_Case2!$B$29*(1+가정_Case2!$B$11)^A29,0)</f>
        <v>0</v>
      </c>
      <c r="I29" s="35">
        <f t="shared" si="2"/>
        <v>6277134.8375909887</v>
      </c>
      <c r="J29" s="36">
        <f>1/(1+가정_Case2!$B$12)^A29</f>
        <v>0.26223370389926987</v>
      </c>
      <c r="K29" s="35">
        <f t="shared" si="3"/>
        <v>1646076.3183366267</v>
      </c>
      <c r="L29" s="35">
        <f t="shared" si="4"/>
        <v>-4465425.3879420813</v>
      </c>
    </row>
  </sheetData>
  <mergeCells count="1">
    <mergeCell ref="A1:L1"/>
  </mergeCells>
  <phoneticPr fontId="1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workbookViewId="0">
      <selection sqref="A1:C1"/>
    </sheetView>
  </sheetViews>
  <sheetFormatPr defaultColWidth="8.7109375" defaultRowHeight="15"/>
  <cols>
    <col min="1" max="1" width="24" customWidth="1"/>
    <col min="2" max="3" width="16" customWidth="1"/>
  </cols>
  <sheetData>
    <row r="1" spans="1:3" ht="19.5" customHeight="1">
      <c r="A1" s="44" t="s">
        <v>114</v>
      </c>
      <c r="B1" s="45"/>
      <c r="C1" s="45"/>
    </row>
    <row r="3" spans="1:3" ht="16.5" customHeight="1">
      <c r="A3" s="2" t="s">
        <v>94</v>
      </c>
      <c r="B3" s="2" t="s">
        <v>2</v>
      </c>
      <c r="C3" s="2" t="s">
        <v>3</v>
      </c>
    </row>
    <row r="4" spans="1:3" ht="16.5" customHeight="1">
      <c r="A4" s="3" t="s">
        <v>37</v>
      </c>
      <c r="B4" s="14">
        <f>가정_Case2!B23</f>
        <v>48300000</v>
      </c>
      <c r="C4" s="3" t="s">
        <v>28</v>
      </c>
    </row>
    <row r="5" spans="1:3" ht="16.5" customHeight="1">
      <c r="A5" s="5" t="s">
        <v>95</v>
      </c>
      <c r="B5" s="14">
        <f>SUM(현금흐름_Case2!K4:K29)</f>
        <v>-4465425.3879420813</v>
      </c>
      <c r="C5" s="3" t="s">
        <v>28</v>
      </c>
    </row>
    <row r="6" spans="1:3" ht="16.5" customHeight="1">
      <c r="A6" s="5" t="s">
        <v>96</v>
      </c>
      <c r="B6" s="38">
        <f>IRR(현금흐름_Case2!I4:I29)</f>
        <v>4.7127100403225874E-2</v>
      </c>
      <c r="C6" s="5" t="s">
        <v>76</v>
      </c>
    </row>
    <row r="7" spans="1:3" ht="16.5" customHeight="1">
      <c r="A7" s="5" t="s">
        <v>97</v>
      </c>
      <c r="B7" s="39">
        <f>(가정_Case2!B23+SUMPRODUCT(현금흐름_Case2!G5:G29+현금흐름_Case2!H5:H29,현금흐름_Case2!J5:J29))/SUMPRODUCT(현금흐름_Case2!D5:D29,현금흐름_Case2!J5:J29)</f>
        <v>247.89663373648582</v>
      </c>
      <c r="C7" s="3" t="s">
        <v>18</v>
      </c>
    </row>
    <row r="8" spans="1:3" ht="15" customHeight="1">
      <c r="A8" s="3" t="s">
        <v>98</v>
      </c>
      <c r="B8" s="40" t="str">
        <f>IFERROR((COUNTIF(현금흐름_Case2!L4:L29,"&lt;0")-1)+(-INDEX(현금흐름_Case2!L4:L29,COUNTIF(현금흐름_Case2!L4:L29,"&lt;0")))/INDEX(현금흐름_Case2!K4:K29,COUNTIF(현금흐름_Case2!L4:L29,"&lt;0")+1),"25년내 미회수")</f>
        <v>25년내 미회수</v>
      </c>
      <c r="C8" s="3" t="s">
        <v>15</v>
      </c>
    </row>
    <row r="10" spans="1:3" ht="16.5" customHeight="1">
      <c r="A10" s="1" t="s">
        <v>99</v>
      </c>
      <c r="B10" s="49" t="str">
        <f>IF(B5&gt;0,"투자가치 있음 (NPV&gt;0)","투자 부적합 (NPV&lt;0)")</f>
        <v>투자 부적합 (NPV&lt;0)</v>
      </c>
      <c r="C10" s="42"/>
    </row>
  </sheetData>
  <mergeCells count="2">
    <mergeCell ref="A1:C1"/>
    <mergeCell ref="B10:C10"/>
  </mergeCells>
  <phoneticPr fontId="1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5"/>
  <sheetViews>
    <sheetView zoomScaleNormal="100" workbookViewId="0">
      <selection activeCell="F19" sqref="F19"/>
    </sheetView>
  </sheetViews>
  <sheetFormatPr defaultColWidth="8.7109375" defaultRowHeight="15"/>
  <cols>
    <col min="1" max="1" width="30" customWidth="1"/>
    <col min="2" max="2" width="15" customWidth="1"/>
    <col min="3" max="3" width="22" customWidth="1"/>
    <col min="4" max="4" width="18" customWidth="1"/>
    <col min="5" max="5" width="50" customWidth="1"/>
  </cols>
  <sheetData>
    <row r="1" spans="1:5" ht="19.5" customHeight="1">
      <c r="A1" s="44" t="s">
        <v>115</v>
      </c>
      <c r="B1" s="45"/>
      <c r="C1" s="45"/>
      <c r="D1" s="45"/>
      <c r="E1" s="45"/>
    </row>
    <row r="3" spans="1:5" ht="16.5" customHeight="1">
      <c r="A3" s="2" t="s">
        <v>1</v>
      </c>
      <c r="B3" s="2" t="s">
        <v>2</v>
      </c>
      <c r="C3" s="2" t="s">
        <v>3</v>
      </c>
      <c r="D3" s="2" t="s">
        <v>4</v>
      </c>
      <c r="E3" s="2"/>
    </row>
    <row r="4" spans="1:5" ht="15" customHeight="1">
      <c r="A4" s="46" t="s">
        <v>5</v>
      </c>
      <c r="B4" s="45"/>
      <c r="C4" s="45"/>
      <c r="D4" s="45"/>
      <c r="E4" s="45"/>
    </row>
    <row r="5" spans="1:5" ht="16.5" customHeight="1">
      <c r="A5" s="3" t="s">
        <v>6</v>
      </c>
      <c r="B5" s="4">
        <v>35000</v>
      </c>
      <c r="C5" s="5" t="s">
        <v>7</v>
      </c>
      <c r="D5" s="41" t="s">
        <v>116</v>
      </c>
      <c r="E5" s="42"/>
    </row>
    <row r="6" spans="1:5" ht="16.5" customHeight="1">
      <c r="A6" s="3" t="s">
        <v>9</v>
      </c>
      <c r="B6" s="4">
        <v>72.3</v>
      </c>
      <c r="C6" s="5" t="s">
        <v>7</v>
      </c>
      <c r="D6" s="41" t="s">
        <v>117</v>
      </c>
      <c r="E6" s="42"/>
    </row>
    <row r="7" spans="1:5" ht="16.5" customHeight="1">
      <c r="A7" s="3" t="s">
        <v>11</v>
      </c>
      <c r="B7" s="6">
        <v>5.0000000000000001E-3</v>
      </c>
      <c r="C7" s="5" t="s">
        <v>12</v>
      </c>
      <c r="D7" s="43" t="s">
        <v>13</v>
      </c>
      <c r="E7" s="42"/>
    </row>
    <row r="8" spans="1:5" ht="15" customHeight="1">
      <c r="A8" s="3" t="s">
        <v>14</v>
      </c>
      <c r="B8" s="7">
        <v>25</v>
      </c>
      <c r="C8" s="3" t="s">
        <v>15</v>
      </c>
      <c r="D8" s="43" t="s">
        <v>16</v>
      </c>
      <c r="E8" s="42"/>
    </row>
    <row r="9" spans="1:5" ht="16.5" customHeight="1">
      <c r="A9" s="3" t="s">
        <v>17</v>
      </c>
      <c r="B9" s="8">
        <f>C37</f>
        <v>138.67789096000001</v>
      </c>
      <c r="C9" s="3" t="s">
        <v>18</v>
      </c>
      <c r="D9" s="41" t="s">
        <v>19</v>
      </c>
      <c r="E9" s="42"/>
    </row>
    <row r="10" spans="1:5" ht="16.5" customHeight="1">
      <c r="A10" s="3" t="s">
        <v>20</v>
      </c>
      <c r="B10" s="6">
        <v>0.05</v>
      </c>
      <c r="C10" s="5" t="s">
        <v>12</v>
      </c>
      <c r="D10" s="43" t="s">
        <v>21</v>
      </c>
      <c r="E10" s="42"/>
    </row>
    <row r="11" spans="1:5" ht="16.5" customHeight="1">
      <c r="A11" s="3" t="s">
        <v>22</v>
      </c>
      <c r="B11" s="6">
        <v>0.02</v>
      </c>
      <c r="C11" s="5" t="s">
        <v>12</v>
      </c>
      <c r="D11" s="41" t="s">
        <v>23</v>
      </c>
      <c r="E11" s="42"/>
    </row>
    <row r="12" spans="1:5" ht="16.5" customHeight="1">
      <c r="A12" s="3" t="s">
        <v>24</v>
      </c>
      <c r="B12" s="6">
        <v>5.5E-2</v>
      </c>
      <c r="C12" s="5" t="s">
        <v>12</v>
      </c>
      <c r="D12" s="41" t="s">
        <v>25</v>
      </c>
      <c r="E12" s="42"/>
    </row>
    <row r="14" spans="1:5" ht="16.5" customHeight="1">
      <c r="A14" s="46" t="s">
        <v>26</v>
      </c>
      <c r="B14" s="45"/>
      <c r="C14" s="45"/>
      <c r="D14" s="45"/>
      <c r="E14" s="45"/>
    </row>
    <row r="15" spans="1:5" ht="15" customHeight="1">
      <c r="A15" s="3" t="s">
        <v>27</v>
      </c>
      <c r="B15" s="9">
        <f>300000*96</f>
        <v>28800000</v>
      </c>
      <c r="C15" s="3" t="s">
        <v>28</v>
      </c>
      <c r="D15" s="41" t="s">
        <v>103</v>
      </c>
      <c r="E15" s="42"/>
    </row>
    <row r="16" spans="1:5" ht="16.5" customHeight="1">
      <c r="A16" s="3" t="s">
        <v>30</v>
      </c>
      <c r="B16" s="9">
        <f>200000*18</f>
        <v>3600000</v>
      </c>
      <c r="C16" s="3" t="s">
        <v>28</v>
      </c>
      <c r="D16" s="41" t="s">
        <v>118</v>
      </c>
      <c r="E16" s="42"/>
    </row>
    <row r="17" spans="1:5" ht="16.5" customHeight="1">
      <c r="A17" s="3" t="s">
        <v>31</v>
      </c>
      <c r="B17" s="8">
        <f>7000000</f>
        <v>7000000</v>
      </c>
      <c r="C17" s="3" t="s">
        <v>28</v>
      </c>
      <c r="D17" s="41" t="s">
        <v>119</v>
      </c>
      <c r="E17" s="42"/>
    </row>
    <row r="18" spans="1:5" ht="16.5" customHeight="1">
      <c r="A18" s="3" t="s">
        <v>32</v>
      </c>
      <c r="B18" s="8">
        <f>5000000</f>
        <v>5000000</v>
      </c>
      <c r="C18" s="3" t="s">
        <v>28</v>
      </c>
      <c r="D18" s="48" t="s">
        <v>106</v>
      </c>
      <c r="E18" s="42"/>
    </row>
    <row r="19" spans="1:5" ht="15" customHeight="1">
      <c r="A19" s="3" t="s">
        <v>33</v>
      </c>
      <c r="B19" s="8">
        <f>3500000</f>
        <v>3500000</v>
      </c>
      <c r="C19" s="3" t="s">
        <v>28</v>
      </c>
      <c r="D19" s="41" t="s">
        <v>120</v>
      </c>
      <c r="E19" s="42"/>
    </row>
    <row r="20" spans="1:5" ht="16.5" customHeight="1">
      <c r="A20" s="3" t="s">
        <v>34</v>
      </c>
      <c r="B20" s="8">
        <f>3000000</f>
        <v>3000000</v>
      </c>
      <c r="C20" s="3" t="s">
        <v>28</v>
      </c>
      <c r="D20" s="41" t="s">
        <v>108</v>
      </c>
      <c r="E20" s="42"/>
    </row>
    <row r="21" spans="1:5" ht="16.5" customHeight="1">
      <c r="A21" s="3" t="s">
        <v>35</v>
      </c>
      <c r="B21" s="8">
        <f>7000000</f>
        <v>7000000</v>
      </c>
      <c r="C21" s="3" t="s">
        <v>28</v>
      </c>
      <c r="D21" s="41" t="s">
        <v>121</v>
      </c>
      <c r="E21" s="42"/>
    </row>
    <row r="22" spans="1:5" ht="16.5" customHeight="1">
      <c r="A22" s="3" t="s">
        <v>36</v>
      </c>
      <c r="B22" s="8">
        <f>2500000</f>
        <v>2500000</v>
      </c>
      <c r="C22" s="3" t="s">
        <v>28</v>
      </c>
      <c r="D22" s="41" t="s">
        <v>108</v>
      </c>
      <c r="E22" s="42"/>
    </row>
    <row r="23" spans="1:5" ht="16.5" customHeight="1">
      <c r="A23" s="10" t="s">
        <v>37</v>
      </c>
      <c r="B23" s="11">
        <f>SUM(B15:B22)</f>
        <v>60400000</v>
      </c>
      <c r="C23" s="12" t="s">
        <v>28</v>
      </c>
      <c r="D23" s="13"/>
      <c r="E23" s="13"/>
    </row>
    <row r="25" spans="1:5" ht="16.5" customHeight="1">
      <c r="A25" s="46" t="s">
        <v>38</v>
      </c>
      <c r="B25" s="45"/>
      <c r="C25" s="45"/>
      <c r="D25" s="45"/>
      <c r="E25" s="45"/>
    </row>
    <row r="26" spans="1:5" ht="16.5" customHeight="1">
      <c r="A26" s="5" t="s">
        <v>39</v>
      </c>
      <c r="B26" s="6">
        <v>0.02</v>
      </c>
      <c r="C26" s="5" t="s">
        <v>12</v>
      </c>
      <c r="D26" s="43" t="s">
        <v>122</v>
      </c>
      <c r="E26" s="42"/>
    </row>
    <row r="27" spans="1:5" ht="16.5" customHeight="1">
      <c r="A27" s="5" t="s">
        <v>41</v>
      </c>
      <c r="B27" s="14">
        <f>B23*B26</f>
        <v>1208000</v>
      </c>
      <c r="C27" s="3" t="s">
        <v>42</v>
      </c>
      <c r="D27" s="41" t="s">
        <v>43</v>
      </c>
      <c r="E27" s="42"/>
    </row>
    <row r="28" spans="1:5" ht="15" customHeight="1">
      <c r="A28" s="3" t="s">
        <v>44</v>
      </c>
      <c r="B28" s="7">
        <v>12</v>
      </c>
      <c r="C28" s="3" t="s">
        <v>45</v>
      </c>
      <c r="D28" s="41" t="s">
        <v>123</v>
      </c>
      <c r="E28" s="42"/>
    </row>
    <row r="29" spans="1:5" ht="16.5" customHeight="1">
      <c r="A29" s="3" t="s">
        <v>47</v>
      </c>
      <c r="B29" s="14">
        <f>B16</f>
        <v>3600000</v>
      </c>
      <c r="C29" s="3" t="s">
        <v>28</v>
      </c>
      <c r="D29" s="41" t="s">
        <v>124</v>
      </c>
      <c r="E29" s="42"/>
    </row>
    <row r="30" spans="1:5" ht="16.5" customHeight="1">
      <c r="A30" s="3" t="s">
        <v>48</v>
      </c>
      <c r="B30" s="7">
        <v>40</v>
      </c>
      <c r="C30" s="5" t="s">
        <v>49</v>
      </c>
      <c r="D30" s="43" t="s">
        <v>112</v>
      </c>
      <c r="E30" s="42"/>
    </row>
    <row r="32" spans="1:5" ht="15" customHeight="1">
      <c r="A32" s="47" t="s">
        <v>51</v>
      </c>
      <c r="B32" s="45"/>
      <c r="C32" s="45"/>
      <c r="D32" s="45"/>
      <c r="E32" s="45"/>
    </row>
    <row r="33" spans="1:6" ht="16.5" customHeight="1">
      <c r="A33" s="15" t="s">
        <v>52</v>
      </c>
      <c r="B33" s="15" t="s">
        <v>53</v>
      </c>
      <c r="C33" s="15" t="s">
        <v>54</v>
      </c>
      <c r="D33" s="15" t="s">
        <v>55</v>
      </c>
      <c r="E33" s="15" t="s">
        <v>56</v>
      </c>
      <c r="F33" s="16"/>
    </row>
    <row r="34" spans="1:6" ht="16.5" customHeight="1">
      <c r="A34" s="17" t="s">
        <v>57</v>
      </c>
      <c r="B34" s="18" t="s">
        <v>58</v>
      </c>
      <c r="C34" s="19">
        <f>(132.4+$B$42+$B$43)*(1+$B$44+$B$45)</f>
        <v>164.99280000000002</v>
      </c>
      <c r="D34" s="20">
        <v>0.22420000000000001</v>
      </c>
      <c r="E34" s="21" t="s">
        <v>59</v>
      </c>
      <c r="F34" s="22"/>
    </row>
    <row r="35" spans="1:6" ht="16.5" customHeight="1">
      <c r="A35" s="17" t="s">
        <v>60</v>
      </c>
      <c r="B35" s="18" t="s">
        <v>61</v>
      </c>
      <c r="C35" s="21">
        <f>(91.9+$B$42+$B$43)*(1+$B$44+$B$45)</f>
        <v>119.3493</v>
      </c>
      <c r="D35" s="20">
        <v>0.47799999999999998</v>
      </c>
      <c r="E35" s="21" t="s">
        <v>62</v>
      </c>
      <c r="F35" s="22"/>
    </row>
    <row r="36" spans="1:6" ht="16.5" customHeight="1">
      <c r="A36" s="17" t="s">
        <v>63</v>
      </c>
      <c r="B36" s="18" t="s">
        <v>64</v>
      </c>
      <c r="C36" s="21">
        <f>(119+$B$42+$B$43)*(1+$B$44+$B$45)</f>
        <v>149.89099999999999</v>
      </c>
      <c r="D36" s="20">
        <v>0.29780000000000001</v>
      </c>
      <c r="E36" s="21" t="s">
        <v>65</v>
      </c>
      <c r="F36" s="22"/>
    </row>
    <row r="37" spans="1:6" ht="16.5" customHeight="1">
      <c r="A37" s="23" t="s">
        <v>66</v>
      </c>
      <c r="C37" s="24">
        <f>SUMPRODUCT(C34:C36,D34:D36)</f>
        <v>138.67789096000001</v>
      </c>
      <c r="D37" s="25">
        <f>SUM(D34:D36)</f>
        <v>1</v>
      </c>
      <c r="E37" s="24"/>
      <c r="F37" s="26"/>
    </row>
    <row r="39" spans="1:6" ht="16.5" customHeight="1">
      <c r="A39" s="27" t="s">
        <v>67</v>
      </c>
      <c r="B39" s="28">
        <v>6160</v>
      </c>
      <c r="C39" s="29" t="s">
        <v>68</v>
      </c>
      <c r="D39" s="30" t="s">
        <v>69</v>
      </c>
    </row>
    <row r="41" spans="1:6" ht="15" customHeight="1">
      <c r="A41" s="47" t="s">
        <v>70</v>
      </c>
      <c r="B41" s="45"/>
      <c r="C41" s="45"/>
      <c r="D41" s="45"/>
      <c r="E41" s="45"/>
    </row>
    <row r="42" spans="1:6" ht="16.5" customHeight="1">
      <c r="A42" s="31" t="s">
        <v>71</v>
      </c>
      <c r="B42" s="32">
        <v>9</v>
      </c>
      <c r="C42" s="3" t="s">
        <v>18</v>
      </c>
      <c r="D42" s="41" t="s">
        <v>72</v>
      </c>
      <c r="E42" s="42"/>
    </row>
    <row r="43" spans="1:6" ht="16.5" customHeight="1">
      <c r="A43" s="31" t="s">
        <v>73</v>
      </c>
      <c r="B43" s="32">
        <v>5</v>
      </c>
      <c r="C43" s="3" t="s">
        <v>18</v>
      </c>
      <c r="D43" s="41" t="s">
        <v>74</v>
      </c>
      <c r="E43" s="42"/>
    </row>
    <row r="44" spans="1:6" ht="14.25" customHeight="1">
      <c r="A44" s="31" t="s">
        <v>75</v>
      </c>
      <c r="B44" s="6">
        <v>0.1</v>
      </c>
      <c r="C44" s="5" t="s">
        <v>76</v>
      </c>
      <c r="D44" s="41" t="s">
        <v>77</v>
      </c>
      <c r="E44" s="42"/>
    </row>
    <row r="45" spans="1:6" ht="14.25" customHeight="1">
      <c r="A45" s="31" t="s">
        <v>78</v>
      </c>
      <c r="B45" s="6">
        <v>2.7E-2</v>
      </c>
      <c r="C45" s="5" t="s">
        <v>76</v>
      </c>
      <c r="D45" s="41" t="s">
        <v>79</v>
      </c>
      <c r="E45" s="42"/>
    </row>
  </sheetData>
  <mergeCells count="31">
    <mergeCell ref="D44:E44"/>
    <mergeCell ref="D30:E30"/>
    <mergeCell ref="D42:E42"/>
    <mergeCell ref="D15:E15"/>
    <mergeCell ref="D29:E29"/>
    <mergeCell ref="D5:E5"/>
    <mergeCell ref="D26:E26"/>
    <mergeCell ref="D45:E45"/>
    <mergeCell ref="D21:E21"/>
    <mergeCell ref="D6:E6"/>
    <mergeCell ref="D11:E11"/>
    <mergeCell ref="A25:E25"/>
    <mergeCell ref="D27:E27"/>
    <mergeCell ref="A41:E41"/>
    <mergeCell ref="D17:E17"/>
    <mergeCell ref="D16:E16"/>
    <mergeCell ref="D7:E7"/>
    <mergeCell ref="D43:E43"/>
    <mergeCell ref="D28:E28"/>
    <mergeCell ref="A32:E32"/>
    <mergeCell ref="D18:E18"/>
    <mergeCell ref="A14:E14"/>
    <mergeCell ref="D9:E9"/>
    <mergeCell ref="D20:E20"/>
    <mergeCell ref="D10:E10"/>
    <mergeCell ref="D19:E19"/>
    <mergeCell ref="A1:E1"/>
    <mergeCell ref="D22:E22"/>
    <mergeCell ref="D12:E12"/>
    <mergeCell ref="D8:E8"/>
    <mergeCell ref="A4:E4"/>
  </mergeCells>
  <phoneticPr fontId="1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9"/>
  <sheetViews>
    <sheetView zoomScaleNormal="100" workbookViewId="0">
      <selection sqref="A1:L1"/>
    </sheetView>
  </sheetViews>
  <sheetFormatPr defaultColWidth="8.7109375" defaultRowHeight="15"/>
  <cols>
    <col min="1" max="1" width="6" customWidth="1"/>
    <col min="2" max="4" width="12" customWidth="1"/>
    <col min="5" max="6" width="14" customWidth="1"/>
    <col min="7" max="8" width="12" customWidth="1"/>
    <col min="9" max="9" width="14" customWidth="1"/>
    <col min="10" max="10" width="9" customWidth="1"/>
    <col min="11" max="11" width="14" customWidth="1"/>
    <col min="12" max="12" width="15" customWidth="1"/>
  </cols>
  <sheetData>
    <row r="1" spans="1:12" ht="19.5" customHeight="1">
      <c r="A1" s="44" t="s">
        <v>125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</row>
    <row r="3" spans="1:12" ht="32.25" customHeight="1">
      <c r="A3" s="2" t="s">
        <v>81</v>
      </c>
      <c r="B3" s="2" t="s">
        <v>82</v>
      </c>
      <c r="C3" s="2" t="s">
        <v>83</v>
      </c>
      <c r="D3" s="2" t="s">
        <v>84</v>
      </c>
      <c r="E3" s="2" t="s">
        <v>85</v>
      </c>
      <c r="F3" s="2" t="s">
        <v>86</v>
      </c>
      <c r="G3" s="33" t="s">
        <v>87</v>
      </c>
      <c r="H3" s="2" t="s">
        <v>88</v>
      </c>
      <c r="I3" s="2" t="s">
        <v>89</v>
      </c>
      <c r="J3" s="2" t="s">
        <v>90</v>
      </c>
      <c r="K3" s="2" t="s">
        <v>91</v>
      </c>
      <c r="L3" s="2" t="s">
        <v>92</v>
      </c>
    </row>
    <row r="4" spans="1:12" ht="15" customHeight="1">
      <c r="A4" s="34">
        <v>0</v>
      </c>
      <c r="B4" s="4"/>
      <c r="C4" s="4"/>
      <c r="D4" s="4"/>
      <c r="E4" s="4"/>
      <c r="F4" s="9"/>
      <c r="G4" s="9"/>
      <c r="H4" s="9"/>
      <c r="I4" s="35">
        <f>-가정!$B$23</f>
        <v>-60400000</v>
      </c>
      <c r="J4" s="36">
        <v>1</v>
      </c>
      <c r="K4" s="35">
        <f>I4</f>
        <v>-60400000</v>
      </c>
      <c r="L4" s="35">
        <f>K4</f>
        <v>-60400000</v>
      </c>
    </row>
    <row r="5" spans="1:12" ht="15" customHeight="1">
      <c r="A5" s="34">
        <v>1</v>
      </c>
      <c r="B5" s="37">
        <f>가정!$B$5*(1-가정!$B$7)^(A5-1)</f>
        <v>35000</v>
      </c>
      <c r="C5" s="37">
        <f>가정!$B$6</f>
        <v>72.3</v>
      </c>
      <c r="D5" s="37">
        <f t="shared" ref="D5:D29" si="0">B5-C5</f>
        <v>34927.699999999997</v>
      </c>
      <c r="E5" s="37">
        <f>가정!$B$9*(1+가정!$B$10)^(A5-1)</f>
        <v>138.67789096000001</v>
      </c>
      <c r="F5" s="35">
        <f t="shared" ref="F5:F29" si="1">D5*E5</f>
        <v>4843699.7720835917</v>
      </c>
      <c r="G5" s="35">
        <f>가정!$B$27*(1+가정!$B$11)^(A5-1)</f>
        <v>1208000</v>
      </c>
      <c r="H5" s="35">
        <f>IF(A5=가정!$B$28,가정!$B$29*(1+가정!$B$11)^A5,0)</f>
        <v>0</v>
      </c>
      <c r="I5" s="35">
        <f t="shared" ref="I5:I29" si="2">F5-G5-H5</f>
        <v>3635699.7720835917</v>
      </c>
      <c r="J5" s="36">
        <f>1/(1+가정!$B$12)^A5</f>
        <v>0.94786729857819907</v>
      </c>
      <c r="K5" s="35">
        <f t="shared" ref="K5:K29" si="3">I5*J5</f>
        <v>3446160.9214062481</v>
      </c>
      <c r="L5" s="35">
        <f t="shared" ref="L5:L29" si="4">L4+K5</f>
        <v>-56953839.078593753</v>
      </c>
    </row>
    <row r="6" spans="1:12" ht="15" customHeight="1">
      <c r="A6" s="34">
        <v>2</v>
      </c>
      <c r="B6" s="37">
        <f>가정!$B$5*(1-가정!$B$7)^(A6-1)</f>
        <v>34825</v>
      </c>
      <c r="C6" s="37">
        <f>가정!$B$6</f>
        <v>72.3</v>
      </c>
      <c r="D6" s="37">
        <f t="shared" si="0"/>
        <v>34752.699999999997</v>
      </c>
      <c r="E6" s="37">
        <f>가정!$B$9*(1+가정!$B$10)^(A6-1)</f>
        <v>145.61178550800003</v>
      </c>
      <c r="F6" s="35">
        <f t="shared" si="1"/>
        <v>5060402.6982238721</v>
      </c>
      <c r="G6" s="35">
        <f>가정!$B$27*(1+가정!$B$11)^(A6-1)</f>
        <v>1232160</v>
      </c>
      <c r="H6" s="35">
        <f>IF(A6=가정!$B$28,가정!$B$29*(1+가정!$B$11)^A6,0)</f>
        <v>0</v>
      </c>
      <c r="I6" s="35">
        <f t="shared" si="2"/>
        <v>3828242.6982238721</v>
      </c>
      <c r="J6" s="36">
        <f>1/(1+가정!$B$12)^A6</f>
        <v>0.89845241571393286</v>
      </c>
      <c r="K6" s="35">
        <f t="shared" si="3"/>
        <v>3439493.9001584626</v>
      </c>
      <c r="L6" s="35">
        <f t="shared" si="4"/>
        <v>-53514345.178435288</v>
      </c>
    </row>
    <row r="7" spans="1:12" ht="15" customHeight="1">
      <c r="A7" s="34">
        <v>3</v>
      </c>
      <c r="B7" s="37">
        <f>가정!$B$5*(1-가정!$B$7)^(A7-1)</f>
        <v>34650.875</v>
      </c>
      <c r="C7" s="37">
        <f>가정!$B$6</f>
        <v>72.3</v>
      </c>
      <c r="D7" s="37">
        <f t="shared" si="0"/>
        <v>34578.574999999997</v>
      </c>
      <c r="E7" s="37">
        <f>가정!$B$9*(1+가정!$B$10)^(A7-1)</f>
        <v>152.89237478340002</v>
      </c>
      <c r="F7" s="35">
        <f t="shared" si="1"/>
        <v>5286800.4483759059</v>
      </c>
      <c r="G7" s="35">
        <f>가정!$B$27*(1+가정!$B$11)^(A7-1)</f>
        <v>1256803.2</v>
      </c>
      <c r="H7" s="35">
        <f>IF(A7=가정!$B$28,가정!$B$29*(1+가정!$B$11)^A7,0)</f>
        <v>0</v>
      </c>
      <c r="I7" s="35">
        <f t="shared" si="2"/>
        <v>4029997.2483759057</v>
      </c>
      <c r="J7" s="36">
        <f>1/(1+가정!$B$12)^A7</f>
        <v>0.85161366418382267</v>
      </c>
      <c r="K7" s="35">
        <f t="shared" si="3"/>
        <v>3432000.7233401281</v>
      </c>
      <c r="L7" s="35">
        <f t="shared" si="4"/>
        <v>-50082344.455095157</v>
      </c>
    </row>
    <row r="8" spans="1:12" ht="15" customHeight="1">
      <c r="A8" s="34">
        <v>4</v>
      </c>
      <c r="B8" s="37">
        <f>가정!$B$5*(1-가정!$B$7)^(A8-1)</f>
        <v>34477.620625000003</v>
      </c>
      <c r="C8" s="37">
        <f>가정!$B$6</f>
        <v>72.3</v>
      </c>
      <c r="D8" s="37">
        <f t="shared" si="0"/>
        <v>34405.320625</v>
      </c>
      <c r="E8" s="37">
        <f>가정!$B$9*(1+가정!$B$10)^(A8-1)</f>
        <v>160.53699352257004</v>
      </c>
      <c r="F8" s="35">
        <f t="shared" si="1"/>
        <v>5523326.7343175709</v>
      </c>
      <c r="G8" s="35">
        <f>가정!$B$27*(1+가정!$B$11)^(A8-1)</f>
        <v>1281939.264</v>
      </c>
      <c r="H8" s="35">
        <f>IF(A8=가정!$B$28,가정!$B$29*(1+가정!$B$11)^A8,0)</f>
        <v>0</v>
      </c>
      <c r="I8" s="35">
        <f t="shared" si="2"/>
        <v>4241387.4703175705</v>
      </c>
      <c r="J8" s="36">
        <f>1/(1+가정!$B$12)^A8</f>
        <v>0.80721674330220161</v>
      </c>
      <c r="K8" s="35">
        <f t="shared" si="3"/>
        <v>3423718.9808725123</v>
      </c>
      <c r="L8" s="35">
        <f t="shared" si="4"/>
        <v>-46658625.474222645</v>
      </c>
    </row>
    <row r="9" spans="1:12" ht="15" customHeight="1">
      <c r="A9" s="34">
        <v>5</v>
      </c>
      <c r="B9" s="37">
        <f>가정!$B$5*(1-가정!$B$7)^(A9-1)</f>
        <v>34305.232521875005</v>
      </c>
      <c r="C9" s="37">
        <f>가정!$B$6</f>
        <v>72.3</v>
      </c>
      <c r="D9" s="37">
        <f t="shared" si="0"/>
        <v>34232.932521875002</v>
      </c>
      <c r="E9" s="37">
        <f>가정!$B$9*(1+가정!$B$10)^(A9-1)</f>
        <v>168.56384319869852</v>
      </c>
      <c r="F9" s="35">
        <f t="shared" si="1"/>
        <v>5770434.6698489645</v>
      </c>
      <c r="G9" s="35">
        <f>가정!$B$27*(1+가정!$B$11)^(A9-1)</f>
        <v>1307578.0492799999</v>
      </c>
      <c r="H9" s="35">
        <f>IF(A9=가정!$B$28,가정!$B$29*(1+가정!$B$11)^A9,0)</f>
        <v>0</v>
      </c>
      <c r="I9" s="35">
        <f t="shared" si="2"/>
        <v>4462856.6205689646</v>
      </c>
      <c r="J9" s="36">
        <f>1/(1+가정!$B$12)^A9</f>
        <v>0.76513435384094941</v>
      </c>
      <c r="K9" s="35">
        <f t="shared" si="3"/>
        <v>3414684.9166638381</v>
      </c>
      <c r="L9" s="35">
        <f t="shared" si="4"/>
        <v>-43243940.557558805</v>
      </c>
    </row>
    <row r="10" spans="1:12" ht="15" customHeight="1">
      <c r="A10" s="34">
        <v>6</v>
      </c>
      <c r="B10" s="37">
        <f>가정!$B$5*(1-가정!$B$7)^(A10-1)</f>
        <v>34133.706359265627</v>
      </c>
      <c r="C10" s="37">
        <f>가정!$B$6</f>
        <v>72.3</v>
      </c>
      <c r="D10" s="37">
        <f t="shared" si="0"/>
        <v>34061.406359265624</v>
      </c>
      <c r="E10" s="37">
        <f>가정!$B$9*(1+가정!$B$10)^(A10-1)</f>
        <v>176.99203535863347</v>
      </c>
      <c r="F10" s="35">
        <f t="shared" si="1"/>
        <v>6028597.6387039246</v>
      </c>
      <c r="G10" s="35">
        <f>가정!$B$27*(1+가정!$B$11)^(A10-1)</f>
        <v>1333729.6102656</v>
      </c>
      <c r="H10" s="35">
        <f>IF(A10=가정!$B$28,가정!$B$29*(1+가정!$B$11)^A10,0)</f>
        <v>0</v>
      </c>
      <c r="I10" s="35">
        <f t="shared" si="2"/>
        <v>4694868.0284383241</v>
      </c>
      <c r="J10" s="36">
        <f>1/(1+가정!$B$12)^A10</f>
        <v>0.72524583302459655</v>
      </c>
      <c r="K10" s="35">
        <f t="shared" si="3"/>
        <v>3404933.4742252976</v>
      </c>
      <c r="L10" s="35">
        <f t="shared" si="4"/>
        <v>-39839007.083333507</v>
      </c>
    </row>
    <row r="11" spans="1:12" ht="15" customHeight="1">
      <c r="A11" s="34">
        <v>7</v>
      </c>
      <c r="B11" s="37">
        <f>가정!$B$5*(1-가정!$B$7)^(A11-1)</f>
        <v>33963.037827469299</v>
      </c>
      <c r="C11" s="37">
        <f>가정!$B$6</f>
        <v>72.3</v>
      </c>
      <c r="D11" s="37">
        <f t="shared" si="0"/>
        <v>33890.737827469296</v>
      </c>
      <c r="E11" s="37">
        <f>가정!$B$9*(1+가정!$B$10)^(A11-1)</f>
        <v>185.8416371265651</v>
      </c>
      <c r="F11" s="35">
        <f t="shared" si="1"/>
        <v>6298310.2012841022</v>
      </c>
      <c r="G11" s="35">
        <f>가정!$B$27*(1+가정!$B$11)^(A11-1)</f>
        <v>1360404.2024709121</v>
      </c>
      <c r="H11" s="35">
        <f>IF(A11=가정!$B$28,가정!$B$29*(1+가정!$B$11)^A11,0)</f>
        <v>0</v>
      </c>
      <c r="I11" s="35">
        <f t="shared" si="2"/>
        <v>4937905.9988131896</v>
      </c>
      <c r="J11" s="36">
        <f>1/(1+가정!$B$12)^A11</f>
        <v>0.68743680855412004</v>
      </c>
      <c r="K11" s="35">
        <f t="shared" si="3"/>
        <v>3394498.3407643833</v>
      </c>
      <c r="L11" s="35">
        <f t="shared" si="4"/>
        <v>-36444508.742569126</v>
      </c>
    </row>
    <row r="12" spans="1:12" ht="15" customHeight="1">
      <c r="A12" s="34">
        <v>8</v>
      </c>
      <c r="B12" s="37">
        <f>가정!$B$5*(1-가정!$B$7)^(A12-1)</f>
        <v>33793.22263833195</v>
      </c>
      <c r="C12" s="37">
        <f>가정!$B$6</f>
        <v>72.3</v>
      </c>
      <c r="D12" s="37">
        <f t="shared" si="0"/>
        <v>33720.922638331947</v>
      </c>
      <c r="E12" s="37">
        <f>가정!$B$9*(1+가정!$B$10)^(A12-1)</f>
        <v>195.13371898289341</v>
      </c>
      <c r="F12" s="35">
        <f t="shared" si="1"/>
        <v>6580089.0419521546</v>
      </c>
      <c r="G12" s="35">
        <f>가정!$B$27*(1+가정!$B$11)^(A12-1)</f>
        <v>1387612.28652033</v>
      </c>
      <c r="H12" s="35">
        <f>IF(A12=가정!$B$28,가정!$B$29*(1+가정!$B$11)^A12,0)</f>
        <v>0</v>
      </c>
      <c r="I12" s="35">
        <f t="shared" si="2"/>
        <v>5192476.7554318244</v>
      </c>
      <c r="J12" s="36">
        <f>1/(1+가정!$B$12)^A12</f>
        <v>0.6515988706674124</v>
      </c>
      <c r="K12" s="35">
        <f t="shared" si="3"/>
        <v>3383411.9898061664</v>
      </c>
      <c r="L12" s="35">
        <f t="shared" si="4"/>
        <v>-33061096.752762958</v>
      </c>
    </row>
    <row r="13" spans="1:12" ht="15" customHeight="1">
      <c r="A13" s="34">
        <v>9</v>
      </c>
      <c r="B13" s="37">
        <f>가정!$B$5*(1-가정!$B$7)^(A13-1)</f>
        <v>33624.256525140292</v>
      </c>
      <c r="C13" s="37">
        <f>가정!$B$6</f>
        <v>72.3</v>
      </c>
      <c r="D13" s="37">
        <f t="shared" si="0"/>
        <v>33551.956525140289</v>
      </c>
      <c r="E13" s="37">
        <f>가정!$B$9*(1+가정!$B$10)^(A13-1)</f>
        <v>204.89040493203805</v>
      </c>
      <c r="F13" s="35">
        <f t="shared" si="1"/>
        <v>6874473.9586981302</v>
      </c>
      <c r="G13" s="35">
        <f>가정!$B$27*(1+가정!$B$11)^(A13-1)</f>
        <v>1415364.5322507368</v>
      </c>
      <c r="H13" s="35">
        <f>IF(A13=가정!$B$28,가정!$B$29*(1+가정!$B$11)^A13,0)</f>
        <v>0</v>
      </c>
      <c r="I13" s="35">
        <f t="shared" si="2"/>
        <v>5459109.4264473934</v>
      </c>
      <c r="J13" s="36">
        <f>1/(1+가정!$B$12)^A13</f>
        <v>0.6176292612961255</v>
      </c>
      <c r="K13" s="35">
        <f t="shared" si="3"/>
        <v>3371705.7223914191</v>
      </c>
      <c r="L13" s="35">
        <f t="shared" si="4"/>
        <v>-29689391.030371539</v>
      </c>
    </row>
    <row r="14" spans="1:12" ht="15" customHeight="1">
      <c r="A14" s="34">
        <v>10</v>
      </c>
      <c r="B14" s="37">
        <f>가정!$B$5*(1-가정!$B$7)^(A14-1)</f>
        <v>33456.135242514589</v>
      </c>
      <c r="C14" s="37">
        <f>가정!$B$6</f>
        <v>72.3</v>
      </c>
      <c r="D14" s="37">
        <f t="shared" si="0"/>
        <v>33383.835242514586</v>
      </c>
      <c r="E14" s="37">
        <f>가정!$B$9*(1+가정!$B$10)^(A14-1)</f>
        <v>215.13492517863997</v>
      </c>
      <c r="F14" s="35">
        <f t="shared" si="1"/>
        <v>7182028.89707442</v>
      </c>
      <c r="G14" s="35">
        <f>가정!$B$27*(1+가정!$B$11)^(A14-1)</f>
        <v>1443671.8228957516</v>
      </c>
      <c r="H14" s="35">
        <f>IF(A14=가정!$B$28,가정!$B$29*(1+가정!$B$11)^A14,0)</f>
        <v>0</v>
      </c>
      <c r="I14" s="35">
        <f t="shared" si="2"/>
        <v>5738357.0741786687</v>
      </c>
      <c r="J14" s="36">
        <f>1/(1+가정!$B$12)^A14</f>
        <v>0.58543057942760712</v>
      </c>
      <c r="K14" s="35">
        <f t="shared" si="3"/>
        <v>3359409.7068989263</v>
      </c>
      <c r="L14" s="35">
        <f t="shared" si="4"/>
        <v>-26329981.323472612</v>
      </c>
    </row>
    <row r="15" spans="1:12" ht="15" customHeight="1">
      <c r="A15" s="34">
        <v>11</v>
      </c>
      <c r="B15" s="37">
        <f>가정!$B$5*(1-가정!$B$7)^(A15-1)</f>
        <v>33288.85456630202</v>
      </c>
      <c r="C15" s="37">
        <f>가정!$B$6</f>
        <v>72.3</v>
      </c>
      <c r="D15" s="37">
        <f t="shared" si="0"/>
        <v>33216.554566302017</v>
      </c>
      <c r="E15" s="37">
        <f>가정!$B$9*(1+가정!$B$10)^(A15-1)</f>
        <v>225.89167143757197</v>
      </c>
      <c r="F15" s="35">
        <f t="shared" si="1"/>
        <v>7503343.0303792758</v>
      </c>
      <c r="G15" s="35">
        <f>가정!$B$27*(1+가정!$B$11)^(A15-1)</f>
        <v>1472545.2593536666</v>
      </c>
      <c r="H15" s="35">
        <f>IF(A15=가정!$B$28,가정!$B$29*(1+가정!$B$11)^A15,0)</f>
        <v>0</v>
      </c>
      <c r="I15" s="35">
        <f t="shared" si="2"/>
        <v>6030797.7710256092</v>
      </c>
      <c r="J15" s="36">
        <f>1/(1+가정!$B$12)^A15</f>
        <v>0.55491050182711577</v>
      </c>
      <c r="K15" s="35">
        <f t="shared" si="3"/>
        <v>3346553.0175376721</v>
      </c>
      <c r="L15" s="35">
        <f t="shared" si="4"/>
        <v>-22983428.30593494</v>
      </c>
    </row>
    <row r="16" spans="1:12" ht="15" customHeight="1">
      <c r="A16" s="34">
        <v>12</v>
      </c>
      <c r="B16" s="37">
        <f>가정!$B$5*(1-가정!$B$7)^(A16-1)</f>
        <v>33122.410293470508</v>
      </c>
      <c r="C16" s="37">
        <f>가정!$B$6</f>
        <v>72.3</v>
      </c>
      <c r="D16" s="37">
        <f t="shared" si="0"/>
        <v>33050.110293470505</v>
      </c>
      <c r="E16" s="37">
        <f>가정!$B$9*(1+가정!$B$10)^(A16-1)</f>
        <v>237.18625500945058</v>
      </c>
      <c r="F16" s="35">
        <f t="shared" si="1"/>
        <v>7839031.8881575624</v>
      </c>
      <c r="G16" s="35">
        <f>가정!$B$27*(1+가정!$B$11)^(A16-1)</f>
        <v>1501996.1645407397</v>
      </c>
      <c r="H16" s="35">
        <f>IF(A16=가정!$B$28,가정!$B$29*(1+가정!$B$11)^A16,0)</f>
        <v>4565670.4604251627</v>
      </c>
      <c r="I16" s="35">
        <f t="shared" si="2"/>
        <v>1771365.2631916599</v>
      </c>
      <c r="J16" s="36">
        <f>1/(1+가정!$B$12)^A16</f>
        <v>0.5259815183195411</v>
      </c>
      <c r="K16" s="35">
        <f t="shared" si="3"/>
        <v>931705.39063204278</v>
      </c>
      <c r="L16" s="35">
        <f t="shared" si="4"/>
        <v>-22051722.915302895</v>
      </c>
    </row>
    <row r="17" spans="1:12" ht="15" customHeight="1">
      <c r="A17" s="34">
        <v>13</v>
      </c>
      <c r="B17" s="37">
        <f>가정!$B$5*(1-가정!$B$7)^(A17-1)</f>
        <v>32956.798242003155</v>
      </c>
      <c r="C17" s="37">
        <f>가정!$B$6</f>
        <v>72.3</v>
      </c>
      <c r="D17" s="37">
        <f t="shared" si="0"/>
        <v>32884.498242003152</v>
      </c>
      <c r="E17" s="37">
        <f>가정!$B$9*(1+가정!$B$10)^(A17-1)</f>
        <v>249.04556775992307</v>
      </c>
      <c r="F17" s="35">
        <f t="shared" si="1"/>
        <v>8189738.5351798674</v>
      </c>
      <c r="G17" s="35">
        <f>가정!$B$27*(1+가정!$B$11)^(A17-1)</f>
        <v>1532036.0878315547</v>
      </c>
      <c r="H17" s="35">
        <f>IF(A17=가정!$B$28,가정!$B$29*(1+가정!$B$11)^A17,0)</f>
        <v>0</v>
      </c>
      <c r="I17" s="35">
        <f t="shared" si="2"/>
        <v>6657702.4473483125</v>
      </c>
      <c r="J17" s="36">
        <f>1/(1+가정!$B$12)^A17</f>
        <v>0.49856068087160293</v>
      </c>
      <c r="K17" s="35">
        <f t="shared" si="3"/>
        <v>3319268.6651905118</v>
      </c>
      <c r="L17" s="35">
        <f t="shared" si="4"/>
        <v>-18732454.250112385</v>
      </c>
    </row>
    <row r="18" spans="1:12" ht="15" customHeight="1">
      <c r="A18" s="34">
        <v>14</v>
      </c>
      <c r="B18" s="37">
        <f>가정!$B$5*(1-가정!$B$7)^(A18-1)</f>
        <v>32792.014250793145</v>
      </c>
      <c r="C18" s="37">
        <f>가정!$B$6</f>
        <v>72.3</v>
      </c>
      <c r="D18" s="37">
        <f t="shared" si="0"/>
        <v>32719.714250793146</v>
      </c>
      <c r="E18" s="37">
        <f>가정!$B$9*(1+가정!$B$10)^(A18-1)</f>
        <v>261.49784614791929</v>
      </c>
      <c r="F18" s="35">
        <f t="shared" si="1"/>
        <v>8556134.8031577878</v>
      </c>
      <c r="G18" s="35">
        <f>가정!$B$27*(1+가정!$B$11)^(A18-1)</f>
        <v>1562676.8095881857</v>
      </c>
      <c r="H18" s="35">
        <f>IF(A18=가정!$B$28,가정!$B$29*(1+가정!$B$11)^A18,0)</f>
        <v>0</v>
      </c>
      <c r="I18" s="35">
        <f t="shared" si="2"/>
        <v>6993457.9935696023</v>
      </c>
      <c r="J18" s="36">
        <f>1/(1+가정!$B$12)^A18</f>
        <v>0.47256936575507386</v>
      </c>
      <c r="K18" s="35">
        <f t="shared" si="3"/>
        <v>3304894.0084559382</v>
      </c>
      <c r="L18" s="35">
        <f t="shared" si="4"/>
        <v>-15427560.241656447</v>
      </c>
    </row>
    <row r="19" spans="1:12" ht="15" customHeight="1">
      <c r="A19" s="34">
        <v>15</v>
      </c>
      <c r="B19" s="37">
        <f>가정!$B$5*(1-가정!$B$7)^(A19-1)</f>
        <v>32628.05417953918</v>
      </c>
      <c r="C19" s="37">
        <f>가정!$B$6</f>
        <v>72.3</v>
      </c>
      <c r="D19" s="37">
        <f t="shared" si="0"/>
        <v>32555.754179539181</v>
      </c>
      <c r="E19" s="37">
        <f>가정!$B$9*(1+가정!$B$10)^(A19-1)</f>
        <v>274.57273845531518</v>
      </c>
      <c r="F19" s="35">
        <f t="shared" si="1"/>
        <v>8938922.5775541458</v>
      </c>
      <c r="G19" s="35">
        <f>가정!$B$27*(1+가정!$B$11)^(A19-1)</f>
        <v>1593930.3457799496</v>
      </c>
      <c r="H19" s="35">
        <f>IF(A19=가정!$B$28,가정!$B$29*(1+가정!$B$11)^A19,0)</f>
        <v>0</v>
      </c>
      <c r="I19" s="35">
        <f t="shared" si="2"/>
        <v>7344992.231774196</v>
      </c>
      <c r="J19" s="36">
        <f>1/(1+가정!$B$12)^A19</f>
        <v>0.44793304810907481</v>
      </c>
      <c r="K19" s="35">
        <f t="shared" si="3"/>
        <v>3290064.7587160915</v>
      </c>
      <c r="L19" s="35">
        <f t="shared" si="4"/>
        <v>-12137495.482940355</v>
      </c>
    </row>
    <row r="20" spans="1:12" ht="15" customHeight="1">
      <c r="A20" s="34">
        <v>16</v>
      </c>
      <c r="B20" s="37">
        <f>가정!$B$5*(1-가정!$B$7)^(A20-1)</f>
        <v>32464.913908641483</v>
      </c>
      <c r="C20" s="37">
        <f>가정!$B$6</f>
        <v>72.3</v>
      </c>
      <c r="D20" s="37">
        <f t="shared" si="0"/>
        <v>32392.613908641484</v>
      </c>
      <c r="E20" s="37">
        <f>가정!$B$9*(1+가정!$B$10)^(A20-1)</f>
        <v>288.30137537808099</v>
      </c>
      <c r="F20" s="35">
        <f t="shared" si="1"/>
        <v>9338835.141952496</v>
      </c>
      <c r="G20" s="35">
        <f>가정!$B$27*(1+가정!$B$11)^(A20-1)</f>
        <v>1625808.9526955481</v>
      </c>
      <c r="H20" s="35">
        <f>IF(A20=가정!$B$28,가정!$B$29*(1+가정!$B$11)^A20,0)</f>
        <v>0</v>
      </c>
      <c r="I20" s="35">
        <f t="shared" si="2"/>
        <v>7713026.1892569475</v>
      </c>
      <c r="J20" s="36">
        <f>1/(1+가정!$B$12)^A20</f>
        <v>0.4245810882550472</v>
      </c>
      <c r="K20" s="35">
        <f t="shared" si="3"/>
        <v>3274805.0531743946</v>
      </c>
      <c r="L20" s="35">
        <f t="shared" si="4"/>
        <v>-8862690.4297659602</v>
      </c>
    </row>
    <row r="21" spans="1:12" ht="15" customHeight="1">
      <c r="A21" s="34">
        <v>17</v>
      </c>
      <c r="B21" s="37">
        <f>가정!$B$5*(1-가정!$B$7)^(A21-1)</f>
        <v>32302.589339098275</v>
      </c>
      <c r="C21" s="37">
        <f>가정!$B$6</f>
        <v>72.3</v>
      </c>
      <c r="D21" s="37">
        <f t="shared" si="0"/>
        <v>32230.289339098275</v>
      </c>
      <c r="E21" s="37">
        <f>가정!$B$9*(1+가정!$B$10)^(A21-1)</f>
        <v>302.71644414698505</v>
      </c>
      <c r="F21" s="35">
        <f t="shared" si="1"/>
        <v>9756638.5825603101</v>
      </c>
      <c r="G21" s="35">
        <f>가정!$B$27*(1+가정!$B$11)^(A21-1)</f>
        <v>1658325.1317494593</v>
      </c>
      <c r="H21" s="35">
        <f>IF(A21=가정!$B$28,가정!$B$29*(1+가정!$B$11)^A21,0)</f>
        <v>0</v>
      </c>
      <c r="I21" s="35">
        <f t="shared" si="2"/>
        <v>8098313.4508108506</v>
      </c>
      <c r="J21" s="36">
        <f>1/(1+가정!$B$12)^A21</f>
        <v>0.40244652915170354</v>
      </c>
      <c r="K21" s="35">
        <f t="shared" si="3"/>
        <v>3259138.1402613819</v>
      </c>
      <c r="L21" s="35">
        <f t="shared" si="4"/>
        <v>-5603552.2895045783</v>
      </c>
    </row>
    <row r="22" spans="1:12" ht="15" customHeight="1">
      <c r="A22" s="34">
        <v>18</v>
      </c>
      <c r="B22" s="37">
        <f>가정!$B$5*(1-가정!$B$7)^(A22-1)</f>
        <v>32141.076392402781</v>
      </c>
      <c r="C22" s="37">
        <f>가정!$B$6</f>
        <v>72.3</v>
      </c>
      <c r="D22" s="37">
        <f t="shared" si="0"/>
        <v>32068.776392402782</v>
      </c>
      <c r="E22" s="37">
        <f>가정!$B$9*(1+가정!$B$10)^(A22-1)</f>
        <v>317.85226635433435</v>
      </c>
      <c r="F22" s="35">
        <f t="shared" si="1"/>
        <v>10193133.255535599</v>
      </c>
      <c r="G22" s="35">
        <f>가정!$B$27*(1+가정!$B$11)^(A22-1)</f>
        <v>1691491.6343844486</v>
      </c>
      <c r="H22" s="35">
        <f>IF(A22=가정!$B$28,가정!$B$29*(1+가정!$B$11)^A22,0)</f>
        <v>0</v>
      </c>
      <c r="I22" s="35">
        <f t="shared" si="2"/>
        <v>8501641.6211511493</v>
      </c>
      <c r="J22" s="36">
        <f>1/(1+가정!$B$12)^A22</f>
        <v>0.38146590440919764</v>
      </c>
      <c r="K22" s="35">
        <f t="shared" si="3"/>
        <v>3243086.4099753005</v>
      </c>
      <c r="L22" s="35">
        <f t="shared" si="4"/>
        <v>-2360465.8795292778</v>
      </c>
    </row>
    <row r="23" spans="1:12" ht="15" customHeight="1">
      <c r="A23" s="34">
        <v>19</v>
      </c>
      <c r="B23" s="37">
        <f>가정!$B$5*(1-가정!$B$7)^(A23-1)</f>
        <v>31980.371010440769</v>
      </c>
      <c r="C23" s="37">
        <f>가정!$B$6</f>
        <v>72.3</v>
      </c>
      <c r="D23" s="37">
        <f t="shared" si="0"/>
        <v>31908.07101044077</v>
      </c>
      <c r="E23" s="37">
        <f>가정!$B$9*(1+가정!$B$10)^(A23-1)</f>
        <v>333.74487967205107</v>
      </c>
      <c r="F23" s="35">
        <f t="shared" si="1"/>
        <v>10649155.319946816</v>
      </c>
      <c r="G23" s="35">
        <f>가정!$B$27*(1+가정!$B$11)^(A23-1)</f>
        <v>1725321.4670721374</v>
      </c>
      <c r="H23" s="35">
        <f>IF(A23=가정!$B$28,가정!$B$29*(1+가정!$B$11)^A23,0)</f>
        <v>0</v>
      </c>
      <c r="I23" s="35">
        <f t="shared" si="2"/>
        <v>8923833.8528746795</v>
      </c>
      <c r="J23" s="36">
        <f>1/(1+가정!$B$12)^A23</f>
        <v>0.36157905631203574</v>
      </c>
      <c r="K23" s="35">
        <f t="shared" si="3"/>
        <v>3226671.4232078246</v>
      </c>
      <c r="L23" s="35">
        <f t="shared" si="4"/>
        <v>866205.54367854679</v>
      </c>
    </row>
    <row r="24" spans="1:12" ht="15" customHeight="1">
      <c r="A24" s="34">
        <v>20</v>
      </c>
      <c r="B24" s="37">
        <f>가정!$B$5*(1-가정!$B$7)^(A24-1)</f>
        <v>31820.469155388564</v>
      </c>
      <c r="C24" s="37">
        <f>가정!$B$6</f>
        <v>72.3</v>
      </c>
      <c r="D24" s="37">
        <f t="shared" si="0"/>
        <v>31748.169155388565</v>
      </c>
      <c r="E24" s="37">
        <f>가정!$B$9*(1+가정!$B$10)^(A24-1)</f>
        <v>350.43212365565358</v>
      </c>
      <c r="F24" s="35">
        <f t="shared" si="1"/>
        <v>11125578.339301733</v>
      </c>
      <c r="G24" s="35">
        <f>가정!$B$27*(1+가정!$B$11)^(A24-1)</f>
        <v>1759827.89641358</v>
      </c>
      <c r="H24" s="35">
        <f>IF(A24=가정!$B$28,가정!$B$29*(1+가정!$B$11)^A24,0)</f>
        <v>0</v>
      </c>
      <c r="I24" s="35">
        <f t="shared" si="2"/>
        <v>9365750.4428881537</v>
      </c>
      <c r="J24" s="36">
        <f>1/(1+가정!$B$12)^A24</f>
        <v>0.34272896332894381</v>
      </c>
      <c r="K24" s="35">
        <f t="shared" si="3"/>
        <v>3209913.9400886535</v>
      </c>
      <c r="L24" s="35">
        <f t="shared" si="4"/>
        <v>4076119.4837672003</v>
      </c>
    </row>
    <row r="25" spans="1:12" ht="15" customHeight="1">
      <c r="A25" s="34">
        <v>21</v>
      </c>
      <c r="B25" s="37">
        <f>가정!$B$5*(1-가정!$B$7)^(A25-1)</f>
        <v>31661.366809611623</v>
      </c>
      <c r="C25" s="37">
        <f>가정!$B$6</f>
        <v>72.3</v>
      </c>
      <c r="D25" s="37">
        <f t="shared" si="0"/>
        <v>31589.066809611624</v>
      </c>
      <c r="E25" s="37">
        <f>가정!$B$9*(1+가정!$B$10)^(A25-1)</f>
        <v>367.95372983843629</v>
      </c>
      <c r="F25" s="35">
        <f t="shared" si="1"/>
        <v>11623314.954712151</v>
      </c>
      <c r="G25" s="35">
        <f>가정!$B$27*(1+가정!$B$11)^(A25-1)</f>
        <v>1795024.4543418519</v>
      </c>
      <c r="H25" s="35">
        <f>IF(A25=가정!$B$28,가정!$B$29*(1+가정!$B$11)^A25,0)</f>
        <v>0</v>
      </c>
      <c r="I25" s="35">
        <f t="shared" si="2"/>
        <v>9828290.5003702994</v>
      </c>
      <c r="J25" s="36">
        <f>1/(1+가정!$B$12)^A25</f>
        <v>0.32486157661511261</v>
      </c>
      <c r="K25" s="35">
        <f t="shared" si="3"/>
        <v>3192833.9473816296</v>
      </c>
      <c r="L25" s="35">
        <f t="shared" si="4"/>
        <v>7268953.4311488299</v>
      </c>
    </row>
    <row r="26" spans="1:12" ht="15" customHeight="1">
      <c r="A26" s="34">
        <v>22</v>
      </c>
      <c r="B26" s="37">
        <f>가정!$B$5*(1-가정!$B$7)^(A26-1)</f>
        <v>31503.059975563563</v>
      </c>
      <c r="C26" s="37">
        <f>가정!$B$6</f>
        <v>72.3</v>
      </c>
      <c r="D26" s="37">
        <f t="shared" si="0"/>
        <v>31430.759975563564</v>
      </c>
      <c r="E26" s="37">
        <f>가정!$B$9*(1+가정!$B$10)^(A26-1)</f>
        <v>386.35141633035806</v>
      </c>
      <c r="F26" s="35">
        <f t="shared" si="1"/>
        <v>12143318.632898513</v>
      </c>
      <c r="G26" s="35">
        <f>가정!$B$27*(1+가정!$B$11)^(A26-1)</f>
        <v>1830924.9434286889</v>
      </c>
      <c r="H26" s="35">
        <f>IF(A26=가정!$B$28,가정!$B$29*(1+가정!$B$11)^A26,0)</f>
        <v>0</v>
      </c>
      <c r="I26" s="35">
        <f t="shared" si="2"/>
        <v>10312393.689469824</v>
      </c>
      <c r="J26" s="36">
        <f>1/(1+가정!$B$12)^A26</f>
        <v>0.30792566503802149</v>
      </c>
      <c r="K26" s="35">
        <f t="shared" si="3"/>
        <v>3175450.6849638913</v>
      </c>
      <c r="L26" s="35">
        <f t="shared" si="4"/>
        <v>10444404.11611272</v>
      </c>
    </row>
    <row r="27" spans="1:12" ht="15" customHeight="1">
      <c r="A27" s="34">
        <v>23</v>
      </c>
      <c r="B27" s="37">
        <f>가정!$B$5*(1-가정!$B$7)^(A27-1)</f>
        <v>31345.544675685745</v>
      </c>
      <c r="C27" s="37">
        <f>가정!$B$6</f>
        <v>72.3</v>
      </c>
      <c r="D27" s="37">
        <f t="shared" si="0"/>
        <v>31273.244675685746</v>
      </c>
      <c r="E27" s="37">
        <f>가정!$B$9*(1+가정!$B$10)^(A27-1)</f>
        <v>405.66898714687596</v>
      </c>
      <c r="F27" s="35">
        <f t="shared" si="1"/>
        <v>12686585.492381869</v>
      </c>
      <c r="G27" s="35">
        <f>가정!$B$27*(1+가정!$B$11)^(A27-1)</f>
        <v>1867543.4422972626</v>
      </c>
      <c r="H27" s="35">
        <f>IF(A27=가정!$B$28,가정!$B$29*(1+가정!$B$11)^A27,0)</f>
        <v>0</v>
      </c>
      <c r="I27" s="35">
        <f t="shared" si="2"/>
        <v>10819042.050084606</v>
      </c>
      <c r="J27" s="36">
        <f>1/(1+가정!$B$12)^A27</f>
        <v>0.29187266828248482</v>
      </c>
      <c r="K27" s="35">
        <f t="shared" si="3"/>
        <v>3157782.6714185984</v>
      </c>
      <c r="L27" s="35">
        <f t="shared" si="4"/>
        <v>13602186.787531318</v>
      </c>
    </row>
    <row r="28" spans="1:12" ht="15" customHeight="1">
      <c r="A28" s="34">
        <v>24</v>
      </c>
      <c r="B28" s="37">
        <f>가정!$B$5*(1-가정!$B$7)^(A28-1)</f>
        <v>31188.816952307316</v>
      </c>
      <c r="C28" s="37">
        <f>가정!$B$6</f>
        <v>72.3</v>
      </c>
      <c r="D28" s="37">
        <f t="shared" si="0"/>
        <v>31116.516952307316</v>
      </c>
      <c r="E28" s="37">
        <f>가정!$B$9*(1+가정!$B$10)^(A28-1)</f>
        <v>425.9524365042198</v>
      </c>
      <c r="F28" s="35">
        <f t="shared" si="1"/>
        <v>13254156.211360162</v>
      </c>
      <c r="G28" s="35">
        <f>가정!$B$27*(1+가정!$B$11)^(A28-1)</f>
        <v>1904894.3111432076</v>
      </c>
      <c r="H28" s="35">
        <f>IF(A28=가정!$B$28,가정!$B$29*(1+가정!$B$11)^A28,0)</f>
        <v>0</v>
      </c>
      <c r="I28" s="35">
        <f t="shared" si="2"/>
        <v>11349261.900216954</v>
      </c>
      <c r="J28" s="36">
        <f>1/(1+가정!$B$12)^A28</f>
        <v>0.2766565576137297</v>
      </c>
      <c r="K28" s="35">
        <f t="shared" si="3"/>
        <v>3139847.7287706793</v>
      </c>
      <c r="L28" s="35">
        <f t="shared" si="4"/>
        <v>16742034.516301997</v>
      </c>
    </row>
    <row r="29" spans="1:12" ht="15" customHeight="1">
      <c r="A29" s="34">
        <v>25</v>
      </c>
      <c r="B29" s="37">
        <f>가정!$B$5*(1-가정!$B$7)^(A29-1)</f>
        <v>31032.872867545782</v>
      </c>
      <c r="C29" s="37">
        <f>가정!$B$6</f>
        <v>72.3</v>
      </c>
      <c r="D29" s="37">
        <f t="shared" si="0"/>
        <v>30960.572867545783</v>
      </c>
      <c r="E29" s="37">
        <f>가정!$B$9*(1+가정!$B$10)^(A29-1)</f>
        <v>447.25005832943077</v>
      </c>
      <c r="F29" s="35">
        <f t="shared" si="1"/>
        <v>13847118.020922443</v>
      </c>
      <c r="G29" s="35">
        <f>가정!$B$27*(1+가정!$B$11)^(A29-1)</f>
        <v>1942992.1973660719</v>
      </c>
      <c r="H29" s="35">
        <f>IF(A29=가정!$B$28,가정!$B$29*(1+가정!$B$11)^A29,0)</f>
        <v>0</v>
      </c>
      <c r="I29" s="35">
        <f t="shared" si="2"/>
        <v>11904125.823556371</v>
      </c>
      <c r="J29" s="36">
        <f>1/(1+가정!$B$12)^A29</f>
        <v>0.26223370389926987</v>
      </c>
      <c r="K29" s="35">
        <f t="shared" si="3"/>
        <v>3121663.0063941334</v>
      </c>
      <c r="L29" s="35">
        <f t="shared" si="4"/>
        <v>19863697.52269613</v>
      </c>
    </row>
  </sheetData>
  <mergeCells count="1">
    <mergeCell ref="A1:L1"/>
  </mergeCells>
  <phoneticPr fontId="1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0"/>
  <sheetViews>
    <sheetView tabSelected="1" zoomScaleNormal="100" workbookViewId="0">
      <selection activeCell="C13" sqref="C13"/>
    </sheetView>
  </sheetViews>
  <sheetFormatPr defaultColWidth="8.7109375" defaultRowHeight="15"/>
  <cols>
    <col min="1" max="1" width="24" customWidth="1"/>
    <col min="2" max="3" width="16" customWidth="1"/>
  </cols>
  <sheetData>
    <row r="1" spans="1:3" ht="19.5" customHeight="1">
      <c r="A1" s="44" t="s">
        <v>126</v>
      </c>
      <c r="B1" s="45"/>
      <c r="C1" s="45"/>
    </row>
    <row r="3" spans="1:3" ht="16.5" customHeight="1">
      <c r="A3" s="2" t="s">
        <v>94</v>
      </c>
      <c r="B3" s="2" t="s">
        <v>2</v>
      </c>
      <c r="C3" s="2" t="s">
        <v>3</v>
      </c>
    </row>
    <row r="4" spans="1:3" ht="16.5" customHeight="1">
      <c r="A4" s="3" t="s">
        <v>37</v>
      </c>
      <c r="B4" s="14">
        <f>가정!B23</f>
        <v>60400000</v>
      </c>
      <c r="C4" s="3" t="s">
        <v>28</v>
      </c>
    </row>
    <row r="5" spans="1:3" ht="16.5" customHeight="1">
      <c r="A5" s="5" t="s">
        <v>95</v>
      </c>
      <c r="B5" s="14">
        <f>SUM(현금흐름!K4:K29)</f>
        <v>19863697.52269613</v>
      </c>
      <c r="C5" s="3" t="s">
        <v>28</v>
      </c>
    </row>
    <row r="6" spans="1:3" ht="16.5" customHeight="1">
      <c r="A6" s="5" t="s">
        <v>96</v>
      </c>
      <c r="B6" s="38">
        <f>IRR(현금흐름!I4:I29)</f>
        <v>7.9900523375919352E-2</v>
      </c>
      <c r="C6" s="5" t="s">
        <v>76</v>
      </c>
    </row>
    <row r="7" spans="1:3" ht="16.5" customHeight="1">
      <c r="A7" s="5" t="s">
        <v>97</v>
      </c>
      <c r="B7" s="39">
        <f>(가정!B23+SUMPRODUCT(현금흐름!G5:G29+현금흐름!H5:H29,현금흐름!J5:J29))/SUMPRODUCT(현금흐름!D5:D29,현금흐름!J5:J29)</f>
        <v>184.32048136936112</v>
      </c>
      <c r="C7" s="3" t="s">
        <v>18</v>
      </c>
    </row>
    <row r="8" spans="1:3" ht="15" customHeight="1">
      <c r="A8" s="3" t="s">
        <v>98</v>
      </c>
      <c r="B8" s="40">
        <f>IFERROR((COUNTIF(현금흐름!L4:L29,"&lt;0")-1)+(-INDEX(현금흐름!L4:L29,COUNTIF(현금흐름!L4:L29,"&lt;0")))/INDEX(현금흐름!K4:K29,COUNTIF(현금흐름!L4:L29,"&lt;0")+1),"25년내 미회수")</f>
        <v>18.731548264428671</v>
      </c>
      <c r="C8" s="3" t="s">
        <v>15</v>
      </c>
    </row>
    <row r="10" spans="1:3" ht="16.5" customHeight="1">
      <c r="A10" s="1" t="s">
        <v>99</v>
      </c>
      <c r="B10" s="49" t="str">
        <f>IF(B5&gt;0,"투자가치 있음 (NPV&gt;0)","투자 부적합 (NPV&lt;0)")</f>
        <v>투자가치 있음 (NPV&gt;0)</v>
      </c>
      <c r="C10" s="42"/>
    </row>
  </sheetData>
  <mergeCells count="2">
    <mergeCell ref="A1:C1"/>
    <mergeCell ref="B10:C10"/>
  </mergeCells>
  <phoneticPr fontId="19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가정_Case1</vt:lpstr>
      <vt:lpstr>현금흐름_Case1</vt:lpstr>
      <vt:lpstr>결과_Case1</vt:lpstr>
      <vt:lpstr>가정_Case2</vt:lpstr>
      <vt:lpstr>현금흐름_Case2</vt:lpstr>
      <vt:lpstr>결과_Case2</vt:lpstr>
      <vt:lpstr>가정</vt:lpstr>
      <vt:lpstr>현금흐름</vt:lpstr>
      <vt:lpstr>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박태규</cp:lastModifiedBy>
  <cp:revision>3</cp:revision>
  <dcterms:created xsi:type="dcterms:W3CDTF">2026-06-15T08:01:20Z</dcterms:created>
  <dcterms:modified xsi:type="dcterms:W3CDTF">2026-06-22T18:40:54Z</dcterms:modified>
  <dc:language>en-US</dc:language>
</cp:coreProperties>
</file>