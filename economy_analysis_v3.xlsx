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65" yWindow="2220" windowWidth="21570" windowHeight="19980" tabRatio="500" firstSheet="3" activeTab="8" autoFilterDateGrouping="1"/>
  </bookViews>
  <sheets>
    <sheet name="가정_Case1" sheetId="1" state="visible" r:id="rId1"/>
    <sheet name="현금흐름_Case1" sheetId="2" state="visible" r:id="rId2"/>
    <sheet name="결과_Case1" sheetId="3" state="visible" r:id="rId3"/>
    <sheet name="가정_Case2" sheetId="4" state="visible" r:id="rId4"/>
    <sheet name="현금흐름_Case2" sheetId="5" state="visible" r:id="rId5"/>
    <sheet name="결과_Case2" sheetId="6" state="visible" r:id="rId6"/>
    <sheet name="가정" sheetId="7" state="visible" r:id="rId7"/>
    <sheet name="현금흐름" sheetId="8" state="visible" r:id="rId8"/>
    <sheet name="결과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#,##0.0;\(#,##0.0\);\-"/>
    <numFmt numFmtId="165" formatCode="0.0%"/>
    <numFmt numFmtId="166" formatCode="#,##0;\(#,##0\);\-"/>
    <numFmt numFmtId="167" formatCode="#,##0.0"/>
    <numFmt numFmtId="168" formatCode="#,##0;\-#,##0;\-"/>
    <numFmt numFmtId="169" formatCode="0.000"/>
    <numFmt numFmtId="170" formatCode="#,##0.0;\-#,##0.0;\-"/>
    <numFmt numFmtId="171" formatCode="0.0"/>
  </numFmts>
  <fonts count="21">
    <font>
      <name val="Calibri"/>
      <charset val="1"/>
      <family val="2"/>
      <color theme="1"/>
      <sz val="11"/>
    </font>
    <font>
      <name val="Noto Sans CJK SC"/>
      <charset val="1"/>
      <family val="2"/>
      <b val="1"/>
      <sz val="13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rgb="FF000000"/>
      <sz val="11"/>
    </font>
    <font>
      <name val="Arial"/>
      <charset val="1"/>
      <family val="2"/>
      <color rgb="FF000000"/>
      <sz val="11"/>
    </font>
    <font>
      <name val="Noto Sans CJK SC"/>
      <charset val="1"/>
      <family val="2"/>
      <i val="1"/>
      <color rgb="FF808080"/>
      <sz val="9"/>
    </font>
    <font>
      <name val="Arial"/>
      <charset val="1"/>
      <family val="2"/>
      <color rgb="FF0000FF"/>
      <sz val="11"/>
    </font>
    <font>
      <name val="Arial"/>
      <charset val="1"/>
      <family val="2"/>
      <i val="1"/>
      <color rgb="FF808080"/>
      <sz val="9"/>
    </font>
    <font>
      <name val="Arial"/>
      <charset val="1"/>
      <family val="2"/>
      <b val="1"/>
      <sz val="11"/>
    </font>
    <font>
      <name val="Arial"/>
      <charset val="1"/>
      <family val="2"/>
      <color rgb="FF008000"/>
      <sz val="11"/>
    </font>
    <font>
      <name val="Noto Sans CJK SC"/>
      <charset val="1"/>
      <family val="2"/>
      <b val="1"/>
      <color rgb="FFFFFFFF"/>
      <sz val="12"/>
    </font>
    <font>
      <name val="Calibri"/>
      <charset val="1"/>
      <family val="2"/>
      <b val="1"/>
      <sz val="11"/>
    </font>
    <font>
      <name val="Noto Sans CJK SC"/>
      <charset val="1"/>
      <family val="2"/>
      <sz val="11"/>
    </font>
    <font>
      <name val="Calibri"/>
      <charset val="1"/>
      <family val="2"/>
      <sz val="11"/>
    </font>
    <font>
      <name val="Noto Sans CJK SC"/>
      <charset val="1"/>
      <family val="2"/>
      <b val="1"/>
      <i val="1"/>
      <sz val="11"/>
    </font>
    <font>
      <name val="Noto Sans CJK SC"/>
      <charset val="1"/>
      <family val="2"/>
      <i val="1"/>
      <color rgb="FF808080"/>
      <sz val="11"/>
    </font>
    <font>
      <name val="Noto Sans CJK SC"/>
      <charset val="1"/>
      <color rgb="FF000000"/>
      <sz val="11"/>
    </font>
    <font>
      <name val="Arial"/>
      <charset val="1"/>
      <family val="2"/>
      <b val="1"/>
      <color rgb="FFFFFFFF"/>
      <sz val="11"/>
    </font>
    <font>
      <name val="돋움"/>
      <charset val="129"/>
      <family val="3"/>
      <sz val="8"/>
    </font>
    <font>
      <name val="Noto Sans CJK SC"/>
      <charset val="129"/>
      <family val="3"/>
      <i val="1"/>
      <color rgb="FF808080"/>
      <sz val="9"/>
    </font>
  </fonts>
  <fills count="7">
    <fill>
      <patternFill/>
    </fill>
    <fill>
      <patternFill patternType="gray125"/>
    </fill>
    <fill>
      <patternFill patternType="solid">
        <fgColor rgb="FF305496"/>
        <bgColor rgb="FF4472C4"/>
      </patternFill>
    </fill>
    <fill>
      <patternFill patternType="solid">
        <fgColor rgb="FFD9E1F2"/>
        <bgColor rgb="FFD9E2F3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D9E2F3"/>
        <bgColor rgb="FFD9E1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5" fontId="7" fillId="4" borderId="1" pivotButton="0" quotePrefix="0" xfId="0"/>
    <xf numFmtId="0" fontId="7" fillId="4" borderId="1" pivotButton="0" quotePrefix="0" xfId="0"/>
    <xf numFmtId="166" fontId="7" fillId="4" borderId="1" pivotButton="0" quotePrefix="0" xfId="0"/>
    <xf numFmtId="166" fontId="5" fillId="0" borderId="1" pivotButton="0" quotePrefix="0" xfId="0"/>
    <xf numFmtId="0" fontId="3" fillId="3" borderId="1" pivotButton="0" quotePrefix="0" xfId="0"/>
    <xf numFmtId="166" fontId="9" fillId="3" borderId="1" pivotButton="0" quotePrefix="0" xfId="0"/>
    <xf numFmtId="0" fontId="4" fillId="3" borderId="1" pivotButton="0" quotePrefix="0" xfId="0"/>
    <xf numFmtId="0" fontId="0" fillId="3" borderId="1" pivotButton="0" quotePrefix="0" xfId="0"/>
    <xf numFmtId="166" fontId="10" fillId="0" borderId="1" pivotButton="0" quotePrefix="0" xfId="0"/>
    <xf numFmtId="0" fontId="3" fillId="6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2" pivotButton="0" quotePrefix="0" xfId="0"/>
    <xf numFmtId="0" fontId="14" fillId="0" borderId="2" pivotButton="0" quotePrefix="0" xfId="0"/>
    <xf numFmtId="167" fontId="14" fillId="0" borderId="2" pivotButton="0" quotePrefix="0" xfId="0"/>
    <xf numFmtId="165" fontId="14" fillId="0" borderId="2" pivotButton="0" quotePrefix="0" xfId="0"/>
    <xf numFmtId="167" fontId="13" fillId="0" borderId="2" pivotButton="0" quotePrefix="0" xfId="0"/>
    <xf numFmtId="167" fontId="14" fillId="0" borderId="0" pivotButton="0" quotePrefix="0" xfId="0"/>
    <xf numFmtId="0" fontId="3" fillId="0" borderId="2" pivotButton="0" quotePrefix="0" xfId="0"/>
    <xf numFmtId="167" fontId="12" fillId="0" borderId="2" pivotButton="0" quotePrefix="0" xfId="0"/>
    <xf numFmtId="165" fontId="12" fillId="0" borderId="2" pivotButton="0" quotePrefix="0" xfId="0"/>
    <xf numFmtId="167" fontId="12" fillId="0" borderId="0" pivotButton="0" quotePrefix="0" xfId="0"/>
    <xf numFmtId="0" fontId="15" fillId="0" borderId="0" pivotButton="0" quotePrefix="0" xfId="0"/>
    <xf numFmtId="3" fontId="0" fillId="0" borderId="0" pivotButton="0" quotePrefix="0" xfId="0"/>
    <xf numFmtId="0" fontId="13" fillId="0" borderId="0" pivotButton="0" quotePrefix="0" xfId="0"/>
    <xf numFmtId="0" fontId="16" fillId="0" borderId="0" pivotButton="0" quotePrefix="0" xfId="0"/>
    <xf numFmtId="0" fontId="17" fillId="0" borderId="1" pivotButton="0" quotePrefix="0" xfId="0"/>
    <xf numFmtId="167" fontId="7" fillId="4" borderId="1" pivotButton="0" quotePrefix="0" xfId="0"/>
    <xf numFmtId="0" fontId="18" fillId="2" borderId="1" applyAlignment="1" pivotButton="0" quotePrefix="0" xfId="0">
      <alignment horizontal="center" wrapText="1"/>
    </xf>
    <xf numFmtId="1" fontId="5" fillId="0" borderId="1" applyAlignment="1" pivotButton="0" quotePrefix="0" xfId="0">
      <alignment horizontal="center"/>
    </xf>
    <xf numFmtId="168" fontId="5" fillId="0" borderId="1" pivotButton="0" quotePrefix="0" xfId="0"/>
    <xf numFmtId="169" fontId="5" fillId="0" borderId="1" pivotButton="0" quotePrefix="0" xfId="0"/>
    <xf numFmtId="170" fontId="5" fillId="0" borderId="1" pivotButton="0" quotePrefix="0" xfId="0"/>
    <xf numFmtId="165" fontId="10" fillId="0" borderId="1" pivotButton="0" quotePrefix="0" xfId="0"/>
    <xf numFmtId="164" fontId="10" fillId="0" borderId="1" pivotButton="0" quotePrefix="0" xfId="0"/>
    <xf numFmtId="171" fontId="10" fillId="0" borderId="1" pivotButton="0" quotePrefix="0" xfId="0"/>
    <xf numFmtId="0" fontId="6" fillId="0" borderId="1" pivotButton="0" quotePrefix="0" xfId="0"/>
    <xf numFmtId="0" fontId="0" fillId="0" borderId="3" pivotButton="0" quotePrefix="0" xfId="0"/>
    <xf numFmtId="0" fontId="8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3" borderId="0" pivotButton="0" quotePrefix="0" xfId="0"/>
    <xf numFmtId="0" fontId="11" fillId="5" borderId="0" pivotButton="0" quotePrefix="0" xfId="0"/>
    <xf numFmtId="0" fontId="20" fillId="0" borderId="1" pivotButton="0" quotePrefix="0" xfId="0"/>
    <xf numFmtId="0" fontId="3" fillId="0" borderId="1" pivotButton="0" quotePrefix="0" xfId="0"/>
    <xf numFmtId="164" fontId="5" fillId="0" borderId="1" pivotButton="0" quotePrefix="0" xfId="0"/>
    <xf numFmtId="165" fontId="7" fillId="4" borderId="1" pivotButton="0" quotePrefix="0" xfId="0"/>
    <xf numFmtId="166" fontId="7" fillId="4" borderId="1" pivotButton="0" quotePrefix="0" xfId="0"/>
    <xf numFmtId="166" fontId="5" fillId="0" borderId="1" pivotButton="0" quotePrefix="0" xfId="0"/>
    <xf numFmtId="166" fontId="9" fillId="3" borderId="1" pivotButton="0" quotePrefix="0" xfId="0"/>
    <xf numFmtId="166" fontId="10" fillId="0" borderId="1" pivotButton="0" quotePrefix="0" xfId="0"/>
    <xf numFmtId="167" fontId="14" fillId="0" borderId="2" pivotButton="0" quotePrefix="0" xfId="0"/>
    <xf numFmtId="165" fontId="14" fillId="0" borderId="2" pivotButton="0" quotePrefix="0" xfId="0"/>
    <xf numFmtId="167" fontId="13" fillId="0" borderId="2" pivotButton="0" quotePrefix="0" xfId="0"/>
    <xf numFmtId="167" fontId="14" fillId="0" borderId="0" pivotButton="0" quotePrefix="0" xfId="0"/>
    <xf numFmtId="167" fontId="12" fillId="0" borderId="2" pivotButton="0" quotePrefix="0" xfId="0"/>
    <xf numFmtId="165" fontId="12" fillId="0" borderId="2" pivotButton="0" quotePrefix="0" xfId="0"/>
    <xf numFmtId="167" fontId="12" fillId="0" borderId="0" pivotButton="0" quotePrefix="0" xfId="0"/>
    <xf numFmtId="167" fontId="7" fillId="4" borderId="1" pivotButton="0" quotePrefix="0" xfId="0"/>
    <xf numFmtId="168" fontId="5" fillId="0" borderId="1" pivotButton="0" quotePrefix="0" xfId="0"/>
    <xf numFmtId="169" fontId="5" fillId="0" borderId="1" pivotButton="0" quotePrefix="0" xfId="0"/>
    <xf numFmtId="170" fontId="5" fillId="0" borderId="1" pivotButton="0" quotePrefix="0" xfId="0"/>
    <xf numFmtId="165" fontId="10" fillId="0" borderId="1" pivotButton="0" quotePrefix="0" xfId="0"/>
    <xf numFmtId="164" fontId="10" fillId="0" borderId="1" pivotButton="0" quotePrefix="0" xfId="0"/>
    <xf numFmtId="171" fontId="10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 xml:space="preserve">누적 할인현금흐름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회수 추이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현금흐름!$L$3</f>
              <strCache>
                <ptCount val="1"/>
                <pt idx="0">
                  <v>누적할인(원)</v>
                </pt>
              </strCache>
            </strRef>
          </tx>
          <spPr>
            <a:ln w="28440">
              <a:solidFill>
                <a:srgbClr val="30549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현금흐름!$A$4:$A$29</f>
              <numCache>
                <formatCode>0</formatCode>
                <ptCount val="2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</numCache>
            </numRef>
          </cat>
          <val>
            <numRef>
              <f>현금흐름!$L$4:$L$29</f>
              <numCache>
                <formatCode>#,##0;\-#,##0;\-</formatCode>
                <ptCount val="26"/>
                <pt idx="0">
                  <v>-60400000</v>
                </pt>
                <pt idx="1">
                  <v>-56953839.07859375</v>
                </pt>
                <pt idx="2">
                  <v>-53514345.17843529</v>
                </pt>
                <pt idx="3">
                  <v>-50082344.45509516</v>
                </pt>
                <pt idx="4">
                  <v>-46658625.47422265</v>
                </pt>
                <pt idx="5">
                  <v>-43243940.5575588</v>
                </pt>
                <pt idx="6">
                  <v>-39839007.08333351</v>
                </pt>
                <pt idx="7">
                  <v>-36444508.74256913</v>
                </pt>
                <pt idx="8">
                  <v>-33061096.75276296</v>
                </pt>
                <pt idx="9">
                  <v>-29689391.03037154</v>
                </pt>
                <pt idx="10">
                  <v>-26329981.32347261</v>
                </pt>
                <pt idx="11">
                  <v>-22983428.30593494</v>
                </pt>
                <pt idx="12">
                  <v>-22051722.9153029</v>
                </pt>
                <pt idx="13">
                  <v>-18732454.25011238</v>
                </pt>
                <pt idx="14">
                  <v>-15427560.24165645</v>
                </pt>
                <pt idx="15">
                  <v>-12137495.48294036</v>
                </pt>
                <pt idx="16">
                  <v>-8862690.42976596</v>
                </pt>
                <pt idx="17">
                  <v>-5603552.289504578</v>
                </pt>
                <pt idx="18">
                  <v>-2360465.879529278</v>
                </pt>
                <pt idx="19">
                  <v>866205.5436785468</v>
                </pt>
                <pt idx="20">
                  <v>4076119.4837672</v>
                </pt>
                <pt idx="21">
                  <v>7268953.43114883</v>
                </pt>
                <pt idx="22">
                  <v>10444404.11611272</v>
                </pt>
                <pt idx="23">
                  <v>13602186.78753132</v>
                </pt>
                <pt idx="24">
                  <v>16742034.516302</v>
                </pt>
                <pt idx="25">
                  <v>19863697.52269613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smooth val="0"/>
        <axId val="1791371"/>
        <axId val="30758500"/>
      </lineChart>
      <catAx>
        <axId val="1791371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연도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ko-KR"/>
          </a:p>
        </txPr>
        <crossAx val="30758500"/>
        <crosses val="autoZero"/>
        <auto val="1"/>
        <lblAlgn val="ctr"/>
        <lblOffset val="100"/>
        <noMultiLvlLbl val="0"/>
      </catAx>
      <valAx>
        <axId val="3075850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;\(#,##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ko-KR"/>
          </a:p>
        </txPr>
        <crossAx val="1791371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1</row>
      <rowOff>125640</rowOff>
    </from>
    <to>
      <col>12</col>
      <colOff>506880</colOff>
      <row>15</row>
      <rowOff>173520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ColWidth="8.7109375" defaultRowHeight="15"/>
  <cols>
    <col width="30" customWidth="1" style="45" min="1" max="1"/>
    <col width="15" customWidth="1" style="45" min="2" max="2"/>
    <col width="22" customWidth="1" style="45" min="3" max="3"/>
    <col width="18" customWidth="1" style="45" min="4" max="4"/>
    <col width="50" customWidth="1" style="45" min="5" max="5"/>
  </cols>
  <sheetData>
    <row r="1" ht="19.5" customHeight="1" s="45">
      <c r="A1" s="44" t="inlineStr">
        <is>
          <t>Base 모델 (BIPV 미설치, 투자 없음) — 가정 및 근거</t>
        </is>
      </c>
    </row>
    <row r="3" ht="16.5" customHeight="1" s="45">
      <c r="A3" s="2" t="inlineStr">
        <is>
          <t>항목</t>
        </is>
      </c>
      <c r="B3" s="2" t="inlineStr">
        <is>
          <t>값</t>
        </is>
      </c>
      <c r="C3" s="2" t="inlineStr">
        <is>
          <t>단위</t>
        </is>
      </c>
      <c r="D3" s="2" t="inlineStr">
        <is>
          <t>근거 / 출처</t>
        </is>
      </c>
      <c r="E3" s="2" t="n"/>
    </row>
    <row r="4" ht="15" customHeight="1" s="45">
      <c r="A4" s="46" t="inlineStr">
        <is>
          <t>— 발전 및 경제 가정 —</t>
        </is>
      </c>
    </row>
    <row r="5" ht="16.5" customHeight="1" s="45">
      <c r="A5" s="3" t="inlineStr">
        <is>
          <t>연간 발전량 (1년차, gross)</t>
        </is>
      </c>
      <c r="B5" s="50" t="n">
        <v>0</v>
      </c>
      <c r="C5" s="5" t="inlineStr">
        <is>
          <t>kWh/년</t>
        </is>
      </c>
      <c r="D5" s="41" t="inlineStr">
        <is>
          <t>없음 — BIPV 미설치 기준선 케이스</t>
        </is>
      </c>
      <c r="E5" s="42" t="n"/>
    </row>
    <row r="6" ht="16.5" customHeight="1" s="45">
      <c r="A6" s="3" t="inlineStr">
        <is>
          <t>키네틱 구동 소비전력</t>
        </is>
      </c>
      <c r="B6" s="50" t="n">
        <v>0</v>
      </c>
      <c r="C6" s="5" t="inlineStr">
        <is>
          <t>kWh/년</t>
        </is>
      </c>
      <c r="D6" s="41" t="inlineStr">
        <is>
          <t>해당 없음</t>
        </is>
      </c>
      <c r="E6" s="42" t="n"/>
    </row>
    <row r="7" ht="16.5" customHeight="1" s="45">
      <c r="A7" s="3" t="inlineStr">
        <is>
          <t>패널 열화율</t>
        </is>
      </c>
      <c r="B7" s="51" t="n">
        <v>0.005</v>
      </c>
      <c r="C7" s="5" t="inlineStr">
        <is>
          <t>%/년</t>
        </is>
      </c>
      <c r="D7" s="43" t="inlineStr">
        <is>
          <t>NREL: 결정질 모듈 중앙값 0.5%/년 (25년차 약 88% 잔존)</t>
        </is>
      </c>
      <c r="E7" s="42" t="n"/>
    </row>
    <row r="8" ht="15" customHeight="1" s="45">
      <c r="A8" s="3" t="inlineStr">
        <is>
          <t>사업 기간</t>
        </is>
      </c>
      <c r="B8" s="7" t="n">
        <v>25</v>
      </c>
      <c r="C8" s="3" t="inlineStr">
        <is>
          <t>년</t>
        </is>
      </c>
      <c r="D8" s="43" t="inlineStr">
        <is>
          <t>PV 모듈 표준 수명·보증기간 통상 25년</t>
        </is>
      </c>
      <c r="E8" s="42" t="n"/>
    </row>
    <row r="9" ht="16.5" customHeight="1" s="45">
      <c r="A9" s="3" t="inlineStr">
        <is>
          <t>적용 전기요금 (1년차 가중평균 청구단가)</t>
        </is>
      </c>
      <c r="B9" s="52">
        <f>C37</f>
        <v/>
      </c>
      <c r="C9" s="3" t="inlineStr">
        <is>
          <t>원/kWh</t>
        </is>
      </c>
      <c r="D9" s="41" t="inlineStr">
        <is>
          <t>기본요금 제외, 전력량요금 가중평균에 기후환경요금(9원/kWh) 및 연료비조정요금(5원/kWh)을 더한 후 VAT(10%)와 전력기금(2.7%)을 합산한 최종 청구단가</t>
        </is>
      </c>
      <c r="E9" s="42" t="n"/>
    </row>
    <row r="10" ht="16.5" customHeight="1" s="45">
      <c r="A10" s="3" t="inlineStr">
        <is>
          <t>전기요금 상승률</t>
        </is>
      </c>
      <c r="B10" s="51" t="n">
        <v>0.05</v>
      </c>
      <c r="C10" s="5" t="inlineStr">
        <is>
          <t>%/년</t>
        </is>
      </c>
      <c r="D10" s="43" t="inlineStr">
        <is>
          <t>2021~24년 실적 약 11~15%/년(적자보전 catch-up)의 장기 완화치, 일반물가 상회 가정</t>
        </is>
      </c>
      <c r="E10" s="42" t="n"/>
    </row>
    <row r="11" ht="16.5" customHeight="1" s="45">
      <c r="A11" s="3" t="inlineStr">
        <is>
          <t>물가상승률</t>
        </is>
      </c>
      <c r="B11" s="51" t="n">
        <v>0.02</v>
      </c>
      <c r="C11" s="5" t="inlineStr">
        <is>
          <t>%/년</t>
        </is>
      </c>
      <c r="D11" s="41" t="inlineStr">
        <is>
          <t>한은 물가목표 2.0%·2026 전망 2.1%(최대 2.3%)·최근 2%대 중반, 보수적 2.5% 적용</t>
        </is>
      </c>
      <c r="E11" s="42" t="n"/>
    </row>
    <row r="12" ht="16.5" customHeight="1" s="45">
      <c r="A12" s="3" t="inlineStr">
        <is>
          <t>명목 할인율</t>
        </is>
      </c>
      <c r="B12" s="51" t="n">
        <v>0.055</v>
      </c>
      <c r="C12" s="5" t="inlineStr">
        <is>
          <t>%/년</t>
        </is>
      </c>
      <c r="D12" s="41" t="inlineStr">
        <is>
          <t>민간 hurdle rate. 참고: KDI 예타 사회적 할인율 4.5%(실질)≈명목 약 7%</t>
        </is>
      </c>
      <c r="E12" s="42" t="n"/>
    </row>
    <row r="14" ht="16.5" customHeight="1" s="45">
      <c r="A14" s="46" t="inlineStr">
        <is>
          <t>— 초기투자비 CAPEX —</t>
        </is>
      </c>
    </row>
    <row r="15" ht="15" customHeight="1" s="45">
      <c r="A15" s="3" t="inlineStr">
        <is>
          <t>태양광 모듈</t>
        </is>
      </c>
      <c r="B15" s="53" t="n">
        <v>0</v>
      </c>
      <c r="C15" s="3" t="inlineStr">
        <is>
          <t>원</t>
        </is>
      </c>
      <c r="D15" s="41" t="inlineStr">
        <is>
          <t>투자 없음</t>
        </is>
      </c>
      <c r="E15" s="42" t="n"/>
    </row>
    <row r="16" ht="16.5" customHeight="1" s="45">
      <c r="A16" s="3" t="inlineStr">
        <is>
          <t>액추에이터 (추종 구동)</t>
        </is>
      </c>
      <c r="B16" s="53" t="n">
        <v>0</v>
      </c>
      <c r="C16" s="3" t="inlineStr">
        <is>
          <t>원</t>
        </is>
      </c>
      <c r="D16" s="41" t="inlineStr">
        <is>
          <t>투자 없음</t>
        </is>
      </c>
      <c r="E16" s="42" t="n"/>
    </row>
    <row r="17" ht="16.5" customHeight="1" s="45">
      <c r="A17" s="3" t="inlineStr">
        <is>
          <t>구조·프레임</t>
        </is>
      </c>
      <c r="B17" s="52" t="n">
        <v>0</v>
      </c>
      <c r="C17" s="3" t="inlineStr">
        <is>
          <t>원</t>
        </is>
      </c>
      <c r="D17" s="41" t="inlineStr">
        <is>
          <t>투자 없음</t>
        </is>
      </c>
      <c r="E17" s="42" t="n"/>
    </row>
    <row r="18" ht="16.5" customHeight="1" s="45">
      <c r="A18" s="3" t="inlineStr">
        <is>
          <t>인버터·전력변환</t>
        </is>
      </c>
      <c r="B18" s="52" t="n">
        <v>0</v>
      </c>
      <c r="C18" s="3" t="inlineStr">
        <is>
          <t>원</t>
        </is>
      </c>
      <c r="D18" s="48" t="inlineStr">
        <is>
          <t>투자 없음</t>
        </is>
      </c>
      <c r="E18" s="42" t="n"/>
    </row>
    <row r="19" ht="15" customHeight="1" s="45">
      <c r="A19" s="3" t="inlineStr">
        <is>
          <t>추종 제어시스템</t>
        </is>
      </c>
      <c r="B19" s="52" t="n">
        <v>0</v>
      </c>
      <c r="C19" s="3" t="inlineStr">
        <is>
          <t>원</t>
        </is>
      </c>
      <c r="D19" s="41" t="inlineStr">
        <is>
          <t>투자 없음</t>
        </is>
      </c>
      <c r="E19" s="42" t="n"/>
    </row>
    <row r="20" ht="16.5" customHeight="1" s="45">
      <c r="A20" s="3" t="inlineStr">
        <is>
          <t>전기 BOS (배선·보호·계측)</t>
        </is>
      </c>
      <c r="B20" s="52" t="n">
        <v>0</v>
      </c>
      <c r="C20" s="3" t="inlineStr">
        <is>
          <t>원</t>
        </is>
      </c>
      <c r="D20" s="41" t="inlineStr">
        <is>
          <t>투자 없음</t>
        </is>
      </c>
      <c r="E20" s="42" t="n"/>
    </row>
    <row r="21" ht="16.5" customHeight="1" s="45">
      <c r="A21" s="3" t="inlineStr">
        <is>
          <t>설치·시운전</t>
        </is>
      </c>
      <c r="B21" s="52" t="n">
        <v>0</v>
      </c>
      <c r="C21" s="3" t="inlineStr">
        <is>
          <t>원</t>
        </is>
      </c>
      <c r="D21" s="41" t="inlineStr">
        <is>
          <t>투자 없음</t>
        </is>
      </c>
      <c r="E21" s="42" t="n"/>
    </row>
    <row r="22" ht="16.5" customHeight="1" s="45">
      <c r="A22" s="3" t="inlineStr">
        <is>
          <t>설계·인허가</t>
        </is>
      </c>
      <c r="B22" s="52" t="n">
        <v>0</v>
      </c>
      <c r="C22" s="3" t="inlineStr">
        <is>
          <t>원</t>
        </is>
      </c>
      <c r="D22" s="41" t="inlineStr">
        <is>
          <t>투자 없음</t>
        </is>
      </c>
      <c r="E22" s="42" t="n"/>
    </row>
    <row r="23" ht="16.5" customHeight="1" s="45">
      <c r="A23" s="10" t="inlineStr">
        <is>
          <t>총 CAPEX</t>
        </is>
      </c>
      <c r="B23" s="54">
        <f>SUM(B15:B22)</f>
        <v/>
      </c>
      <c r="C23" s="12" t="inlineStr">
        <is>
          <t>원</t>
        </is>
      </c>
      <c r="D23" s="13" t="n"/>
      <c r="E23" s="13" t="n"/>
    </row>
    <row r="25" ht="16.5" customHeight="1" s="45">
      <c r="A25" s="46" t="inlineStr">
        <is>
          <t>— 운영비·교체비 —</t>
        </is>
      </c>
    </row>
    <row r="26" ht="16.5" customHeight="1" s="45">
      <c r="A26" s="5" t="inlineStr">
        <is>
          <t>O&amp;M 비율 (CAPEX 대비)</t>
        </is>
      </c>
      <c r="B26" s="51" t="n">
        <v>0</v>
      </c>
      <c r="C26" s="5" t="inlineStr">
        <is>
          <t>%/년</t>
        </is>
      </c>
      <c r="D26" s="43" t="inlineStr">
        <is>
          <t>투자 없음 (O&amp;M 없음)</t>
        </is>
      </c>
      <c r="E26" s="42" t="n"/>
    </row>
    <row r="27" ht="16.5" customHeight="1" s="45">
      <c r="A27" s="5" t="inlineStr">
        <is>
          <t>O&amp;M 1년차 금액</t>
        </is>
      </c>
      <c r="B27" s="55">
        <f>B23*B26</f>
        <v/>
      </c>
      <c r="C27" s="3" t="inlineStr">
        <is>
          <t>원/년</t>
        </is>
      </c>
      <c r="D27" s="41" t="inlineStr">
        <is>
          <t>총CAPEX x O&amp;M비율</t>
        </is>
      </c>
      <c r="E27" s="42" t="n"/>
    </row>
    <row r="28" ht="15" customHeight="1" s="45">
      <c r="A28" s="3" t="inlineStr">
        <is>
          <t>액추에이터 교체연도</t>
        </is>
      </c>
      <c r="B28" s="7" t="n">
        <v>99</v>
      </c>
      <c r="C28" s="3" t="inlineStr">
        <is>
          <t>년차</t>
        </is>
      </c>
      <c r="D28" s="41" t="inlineStr">
        <is>
          <t>해당 없음 — BIPV 없음</t>
        </is>
      </c>
      <c r="E28" s="42" t="n"/>
    </row>
    <row r="29" ht="16.5" customHeight="1" s="45">
      <c r="A29" s="3" t="inlineStr">
        <is>
          <t>액추에이터 교체비 (현재가)</t>
        </is>
      </c>
      <c r="B29" s="55" t="n">
        <v>0</v>
      </c>
      <c r="C29" s="3" t="inlineStr">
        <is>
          <t>원</t>
        </is>
      </c>
      <c r="D29" s="41" t="inlineStr">
        <is>
          <t>해당 없음</t>
        </is>
      </c>
      <c r="E29" s="42" t="n"/>
    </row>
    <row r="30" ht="16.5" customHeight="1" s="45">
      <c r="A30" s="3" t="inlineStr">
        <is>
          <t>설비용량 (참고)</t>
        </is>
      </c>
      <c r="B30" s="7" t="n">
        <v>0</v>
      </c>
      <c r="C30" s="5" t="inlineStr">
        <is>
          <t>kWp</t>
        </is>
      </c>
      <c r="D30" s="43" t="inlineStr">
        <is>
          <t>해당 없음 (PV 없음)</t>
        </is>
      </c>
      <c r="E30" s="42" t="n"/>
    </row>
    <row r="32" ht="15" customHeight="1" s="45">
      <c r="A32" s="47" t="inlineStr">
        <is>
          <t>④ 계절별 전기요금 및 최종 청구단가 (일반용전력(갑) I · 저압)</t>
        </is>
      </c>
    </row>
    <row r="33" ht="16.5" customHeight="1" s="45">
      <c r="A33" s="15" t="inlineStr">
        <is>
          <t>계절</t>
        </is>
      </c>
      <c r="B33" s="15" t="inlineStr">
        <is>
          <t>적용 월</t>
        </is>
      </c>
      <c r="C33" s="15" t="inlineStr">
        <is>
          <t>최종 청구단가 (원/kWh)</t>
        </is>
      </c>
      <c r="D33" s="15" t="inlineStr">
        <is>
          <t>월별 발전비중</t>
        </is>
      </c>
      <c r="E33" s="15" t="inlineStr">
        <is>
          <t>비고</t>
        </is>
      </c>
      <c r="F33" s="16" t="n"/>
    </row>
    <row r="34" ht="16.5" customHeight="1" s="45">
      <c r="A34" s="17" t="inlineStr">
        <is>
          <t>여름철</t>
        </is>
      </c>
      <c r="B34" s="18" t="inlineStr">
        <is>
          <t>6~8월</t>
        </is>
      </c>
      <c r="C34" s="56">
        <f>(132.4+$B$42+$B$43)*(1+$B$44+$B$45)</f>
        <v/>
      </c>
      <c r="D34" s="57" t="n">
        <v>0.2242</v>
      </c>
      <c r="E34" s="58" t="inlineStr">
        <is>
          <t>피크 일사량 기간, 발전량 최대</t>
        </is>
      </c>
      <c r="F34" s="59" t="n"/>
    </row>
    <row r="35" ht="16.5" customHeight="1" s="45">
      <c r="A35" s="17" t="inlineStr">
        <is>
          <t>봄·가을철</t>
        </is>
      </c>
      <c r="B35" s="18" t="inlineStr">
        <is>
          <t>3~5월, 9~10월</t>
        </is>
      </c>
      <c r="C35" s="58">
        <f>(91.9+$B$42+$B$43)*(1+$B$44+$B$45)</f>
        <v/>
      </c>
      <c r="D35" s="57" t="n">
        <v>0.478</v>
      </c>
      <c r="E35" s="58" t="inlineStr">
        <is>
          <t>중간 일사량</t>
        </is>
      </c>
      <c r="F35" s="59" t="n"/>
    </row>
    <row r="36" ht="16.5" customHeight="1" s="45">
      <c r="A36" s="17" t="inlineStr">
        <is>
          <t>겨울철</t>
        </is>
      </c>
      <c r="B36" s="18" t="inlineStr">
        <is>
          <t>11~2월</t>
        </is>
      </c>
      <c r="C36" s="58">
        <f>(119+$B$42+$B$43)*(1+$B$44+$B$45)</f>
        <v/>
      </c>
      <c r="D36" s="57" t="n">
        <v>0.2978</v>
      </c>
      <c r="E36" s="58" t="inlineStr">
        <is>
          <t>일사량 최저</t>
        </is>
      </c>
      <c r="F36" s="59" t="n"/>
    </row>
    <row r="37" ht="16.5" customHeight="1" s="45">
      <c r="A37" s="23" t="inlineStr">
        <is>
          <t>합계/가중평균</t>
        </is>
      </c>
      <c r="C37" s="60">
        <f>SUMPRODUCT(C34:C36,D34:D36)</f>
        <v/>
      </c>
      <c r="D37" s="61">
        <f>SUM(D34:D36)</f>
        <v/>
      </c>
      <c r="E37" s="60" t="n"/>
      <c r="F37" s="62" t="n"/>
    </row>
    <row r="39" ht="16.5" customHeight="1" s="45">
      <c r="A39" s="27" t="inlineStr">
        <is>
          <t>참고: 기본요금</t>
        </is>
      </c>
      <c r="B39" s="28" t="n">
        <v>6160</v>
      </c>
      <c r="C39" s="29" t="inlineStr">
        <is>
          <t>원/kW</t>
        </is>
      </c>
      <c r="D39" s="30" t="inlineStr">
        <is>
          <t>저압 기본요금 (별도, 본 DCF에서는 절감액에 미반영)</t>
        </is>
      </c>
    </row>
    <row r="41" ht="15" customHeight="1" s="45">
      <c r="A41" s="47" t="inlineStr">
        <is>
          <t>⑤ 추가 요금 및 세금 가정</t>
        </is>
      </c>
    </row>
    <row r="42" ht="16.5" customHeight="1" s="45">
      <c r="A42" s="31" t="inlineStr">
        <is>
          <t>기후환경요금단가</t>
        </is>
      </c>
      <c r="B42" s="63" t="n">
        <v>9</v>
      </c>
      <c r="C42" s="3" t="inlineStr">
        <is>
          <t>원/kWh</t>
        </is>
      </c>
      <c r="D42" s="41" t="inlineStr">
        <is>
          <t>기후환경요금 부과단가 (2024년 기준 9.0원/kWh)</t>
        </is>
      </c>
      <c r="E42" s="42" t="n"/>
    </row>
    <row r="43" ht="16.5" customHeight="1" s="45">
      <c r="A43" s="31" t="inlineStr">
        <is>
          <t>연료비조정단가</t>
        </is>
      </c>
      <c r="B43" s="63" t="n">
        <v>5</v>
      </c>
      <c r="C43" s="3" t="inlineStr">
        <is>
          <t>원/kWh</t>
        </is>
      </c>
      <c r="D43" s="41" t="inlineStr">
        <is>
          <t>연료비조정요금 부과단가 (상한 ±5원/kWh 적용)</t>
        </is>
      </c>
      <c r="E43" s="42" t="n"/>
    </row>
    <row r="44" ht="14.25" customHeight="1" s="45">
      <c r="A44" s="31" t="inlineStr">
        <is>
          <t>부가가치세 요율</t>
        </is>
      </c>
      <c r="B44" s="51" t="n">
        <v>0.1</v>
      </c>
      <c r="C44" s="5" t="inlineStr">
        <is>
          <t>%</t>
        </is>
      </c>
      <c r="D44" s="41" t="inlineStr">
        <is>
          <t>전기요금의 10% 부과 (원미만 4사 5입)</t>
        </is>
      </c>
      <c r="E44" s="42" t="n"/>
    </row>
    <row r="45" ht="14.25" customHeight="1" s="45">
      <c r="A45" s="31" t="inlineStr">
        <is>
          <t>전력산업기반기금 요율</t>
        </is>
      </c>
      <c r="B45" s="51" t="n">
        <v>0.027</v>
      </c>
      <c r="C45" s="5" t="inlineStr">
        <is>
          <t>%</t>
        </is>
      </c>
      <c r="D45" s="41" t="inlineStr">
        <is>
          <t>전기요금의 2.7% 부과 (2025.7.1 요율 인하 반영, 10원미만 절사)</t>
        </is>
      </c>
      <c r="E45" s="42" t="n"/>
    </row>
  </sheetData>
  <mergeCells count="31">
    <mergeCell ref="D20:E20"/>
    <mergeCell ref="D10:E10"/>
    <mergeCell ref="D19:E19"/>
    <mergeCell ref="A1:E1"/>
    <mergeCell ref="D22:E22"/>
    <mergeCell ref="D45:E45"/>
    <mergeCell ref="D21:E21"/>
    <mergeCell ref="D6:E6"/>
    <mergeCell ref="D11:E11"/>
    <mergeCell ref="A25:E25"/>
    <mergeCell ref="D27:E27"/>
    <mergeCell ref="A41:E41"/>
    <mergeCell ref="D17:E17"/>
    <mergeCell ref="D16:E16"/>
    <mergeCell ref="D7:E7"/>
    <mergeCell ref="D43:E43"/>
    <mergeCell ref="D28:E28"/>
    <mergeCell ref="A32:E32"/>
    <mergeCell ref="A14:E14"/>
    <mergeCell ref="D18:E18"/>
    <mergeCell ref="D9:E9"/>
    <mergeCell ref="D12:E12"/>
    <mergeCell ref="D8:E8"/>
    <mergeCell ref="A4:E4"/>
    <mergeCell ref="D30:E30"/>
    <mergeCell ref="D42:E42"/>
    <mergeCell ref="D15:E15"/>
    <mergeCell ref="D29:E29"/>
    <mergeCell ref="D5:E5"/>
    <mergeCell ref="D26:E26"/>
    <mergeCell ref="D44:E4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8.7109375" defaultRowHeight="15"/>
  <cols>
    <col width="6" customWidth="1" style="45" min="1" max="1"/>
    <col width="12" customWidth="1" style="45" min="2" max="4"/>
    <col width="14" customWidth="1" style="45" min="5" max="6"/>
    <col width="12" customWidth="1" style="45" min="7" max="8"/>
    <col width="14" customWidth="1" style="45" min="9" max="9"/>
    <col width="9" customWidth="1" style="45" min="10" max="10"/>
    <col width="14" customWidth="1" style="45" min="11" max="11"/>
    <col width="15" customWidth="1" style="45" min="12" max="12"/>
  </cols>
  <sheetData>
    <row r="1" ht="19.5" customHeight="1" s="45">
      <c r="A1" s="44" t="inlineStr">
        <is>
          <t>Base 모델 (BIPV 미설치) — 연도별 현금흐름</t>
        </is>
      </c>
    </row>
    <row r="3" ht="32.25" customHeight="1" s="45">
      <c r="A3" s="2" t="inlineStr">
        <is>
          <t>연도</t>
        </is>
      </c>
      <c r="B3" s="2" t="inlineStr">
        <is>
          <t>발전량(kWh)</t>
        </is>
      </c>
      <c r="C3" s="2" t="inlineStr">
        <is>
          <t>구동소비(kWh)</t>
        </is>
      </c>
      <c r="D3" s="2" t="inlineStr">
        <is>
          <t>순발전(kWh)</t>
        </is>
      </c>
      <c r="E3" s="2" t="inlineStr">
        <is>
          <t>전기요금(원/kWh)</t>
        </is>
      </c>
      <c r="F3" s="2" t="inlineStr">
        <is>
          <t>전력절감액(원)</t>
        </is>
      </c>
      <c r="G3" s="33" t="inlineStr">
        <is>
          <t>O&amp;M(원)</t>
        </is>
      </c>
      <c r="H3" s="2" t="inlineStr">
        <is>
          <t>교체비(원)</t>
        </is>
      </c>
      <c r="I3" s="2" t="inlineStr">
        <is>
          <t>순현금흐름(원)</t>
        </is>
      </c>
      <c r="J3" s="2" t="inlineStr">
        <is>
          <t>할인계수</t>
        </is>
      </c>
      <c r="K3" s="2" t="inlineStr">
        <is>
          <t>할인현금흐름(원)</t>
        </is>
      </c>
      <c r="L3" s="2" t="inlineStr">
        <is>
          <t>누적할인(원)</t>
        </is>
      </c>
    </row>
    <row r="4" ht="15" customHeight="1" s="45">
      <c r="A4" s="34" t="n">
        <v>0</v>
      </c>
      <c r="B4" s="50" t="n"/>
      <c r="C4" s="50" t="n"/>
      <c r="D4" s="50" t="n"/>
      <c r="E4" s="50" t="n"/>
      <c r="F4" s="53" t="n"/>
      <c r="G4" s="53" t="n"/>
      <c r="H4" s="53" t="n"/>
      <c r="I4" s="64">
        <f>-가정_Case1!$B$23</f>
        <v/>
      </c>
      <c r="J4" s="65" t="n">
        <v>1</v>
      </c>
      <c r="K4" s="64">
        <f>I4</f>
        <v/>
      </c>
      <c r="L4" s="64">
        <f>K4</f>
        <v/>
      </c>
    </row>
    <row r="5" ht="15" customHeight="1" s="45">
      <c r="A5" s="34" t="n">
        <v>1</v>
      </c>
      <c r="B5" s="66">
        <f>가정_Case1!$B$5*(1-가정_Case1!$B$7)^(A5-1)</f>
        <v/>
      </c>
      <c r="C5" s="66">
        <f>가정_Case1!$B$6</f>
        <v/>
      </c>
      <c r="D5" s="66">
        <f>B5-C5</f>
        <v/>
      </c>
      <c r="E5" s="66">
        <f>가정_Case1!$B$9*(1+가정_Case1!$B$10)^(A5-1)</f>
        <v/>
      </c>
      <c r="F5" s="64">
        <f>D5*E5</f>
        <v/>
      </c>
      <c r="G5" s="64">
        <f>가정_Case1!$B$27*(1+가정_Case1!$B$11)^(A5-1)</f>
        <v/>
      </c>
      <c r="H5" s="64">
        <f>IF(MOD(A5,가정_Case1!$B$28)=0,가정_Case1!$B$29*(1+가정_Case1!$B$11)^A5,0)</f>
        <v/>
      </c>
      <c r="I5" s="64">
        <f>F5-G5-H5</f>
        <v/>
      </c>
      <c r="J5" s="65">
        <f>1/(1+가정_Case1!$B$12)^A5</f>
        <v/>
      </c>
      <c r="K5" s="64">
        <f>I5*J5</f>
        <v/>
      </c>
      <c r="L5" s="64">
        <f>L4+K5</f>
        <v/>
      </c>
    </row>
    <row r="6" ht="15" customHeight="1" s="45">
      <c r="A6" s="34" t="n">
        <v>2</v>
      </c>
      <c r="B6" s="66">
        <f>가정_Case1!$B$5*(1-가정_Case1!$B$7)^(A6-1)</f>
        <v/>
      </c>
      <c r="C6" s="66">
        <f>가정_Case1!$B$6</f>
        <v/>
      </c>
      <c r="D6" s="66">
        <f>B6-C6</f>
        <v/>
      </c>
      <c r="E6" s="66">
        <f>가정_Case1!$B$9*(1+가정_Case1!$B$10)^(A6-1)</f>
        <v/>
      </c>
      <c r="F6" s="64">
        <f>D6*E6</f>
        <v/>
      </c>
      <c r="G6" s="64">
        <f>가정_Case1!$B$27*(1+가정_Case1!$B$11)^(A6-1)</f>
        <v/>
      </c>
      <c r="H6" s="64">
        <f>IF(MOD(A6,가정_Case1!$B$28)=0,가정_Case1!$B$29*(1+가정_Case1!$B$11)^A6,0)</f>
        <v/>
      </c>
      <c r="I6" s="64">
        <f>F6-G6-H6</f>
        <v/>
      </c>
      <c r="J6" s="65">
        <f>1/(1+가정_Case1!$B$12)^A6</f>
        <v/>
      </c>
      <c r="K6" s="64">
        <f>I6*J6</f>
        <v/>
      </c>
      <c r="L6" s="64">
        <f>L5+K6</f>
        <v/>
      </c>
    </row>
    <row r="7" ht="15" customHeight="1" s="45">
      <c r="A7" s="34" t="n">
        <v>3</v>
      </c>
      <c r="B7" s="66">
        <f>가정_Case1!$B$5*(1-가정_Case1!$B$7)^(A7-1)</f>
        <v/>
      </c>
      <c r="C7" s="66">
        <f>가정_Case1!$B$6</f>
        <v/>
      </c>
      <c r="D7" s="66">
        <f>B7-C7</f>
        <v/>
      </c>
      <c r="E7" s="66">
        <f>가정_Case1!$B$9*(1+가정_Case1!$B$10)^(A7-1)</f>
        <v/>
      </c>
      <c r="F7" s="64">
        <f>D7*E7</f>
        <v/>
      </c>
      <c r="G7" s="64">
        <f>가정_Case1!$B$27*(1+가정_Case1!$B$11)^(A7-1)</f>
        <v/>
      </c>
      <c r="H7" s="64">
        <f>IF(MOD(A7,가정_Case1!$B$28)=0,가정_Case1!$B$29*(1+가정_Case1!$B$11)^A7,0)</f>
        <v/>
      </c>
      <c r="I7" s="64">
        <f>F7-G7-H7</f>
        <v/>
      </c>
      <c r="J7" s="65">
        <f>1/(1+가정_Case1!$B$12)^A7</f>
        <v/>
      </c>
      <c r="K7" s="64">
        <f>I7*J7</f>
        <v/>
      </c>
      <c r="L7" s="64">
        <f>L6+K7</f>
        <v/>
      </c>
    </row>
    <row r="8" ht="15" customHeight="1" s="45">
      <c r="A8" s="34" t="n">
        <v>4</v>
      </c>
      <c r="B8" s="66">
        <f>가정_Case1!$B$5*(1-가정_Case1!$B$7)^(A8-1)</f>
        <v/>
      </c>
      <c r="C8" s="66">
        <f>가정_Case1!$B$6</f>
        <v/>
      </c>
      <c r="D8" s="66">
        <f>B8-C8</f>
        <v/>
      </c>
      <c r="E8" s="66">
        <f>가정_Case1!$B$9*(1+가정_Case1!$B$10)^(A8-1)</f>
        <v/>
      </c>
      <c r="F8" s="64">
        <f>D8*E8</f>
        <v/>
      </c>
      <c r="G8" s="64">
        <f>가정_Case1!$B$27*(1+가정_Case1!$B$11)^(A8-1)</f>
        <v/>
      </c>
      <c r="H8" s="64">
        <f>IF(MOD(A8,가정_Case1!$B$28)=0,가정_Case1!$B$29*(1+가정_Case1!$B$11)^A8,0)</f>
        <v/>
      </c>
      <c r="I8" s="64">
        <f>F8-G8-H8</f>
        <v/>
      </c>
      <c r="J8" s="65">
        <f>1/(1+가정_Case1!$B$12)^A8</f>
        <v/>
      </c>
      <c r="K8" s="64">
        <f>I8*J8</f>
        <v/>
      </c>
      <c r="L8" s="64">
        <f>L7+K8</f>
        <v/>
      </c>
    </row>
    <row r="9" ht="15" customHeight="1" s="45">
      <c r="A9" s="34" t="n">
        <v>5</v>
      </c>
      <c r="B9" s="66">
        <f>가정_Case1!$B$5*(1-가정_Case1!$B$7)^(A9-1)</f>
        <v/>
      </c>
      <c r="C9" s="66">
        <f>가정_Case1!$B$6</f>
        <v/>
      </c>
      <c r="D9" s="66">
        <f>B9-C9</f>
        <v/>
      </c>
      <c r="E9" s="66">
        <f>가정_Case1!$B$9*(1+가정_Case1!$B$10)^(A9-1)</f>
        <v/>
      </c>
      <c r="F9" s="64">
        <f>D9*E9</f>
        <v/>
      </c>
      <c r="G9" s="64">
        <f>가정_Case1!$B$27*(1+가정_Case1!$B$11)^(A9-1)</f>
        <v/>
      </c>
      <c r="H9" s="64">
        <f>IF(MOD(A9,가정_Case1!$B$28)=0,가정_Case1!$B$29*(1+가정_Case1!$B$11)^A9,0)</f>
        <v/>
      </c>
      <c r="I9" s="64">
        <f>F9-G9-H9</f>
        <v/>
      </c>
      <c r="J9" s="65">
        <f>1/(1+가정_Case1!$B$12)^A9</f>
        <v/>
      </c>
      <c r="K9" s="64">
        <f>I9*J9</f>
        <v/>
      </c>
      <c r="L9" s="64">
        <f>L8+K9</f>
        <v/>
      </c>
    </row>
    <row r="10" ht="15" customHeight="1" s="45">
      <c r="A10" s="34" t="n">
        <v>6</v>
      </c>
      <c r="B10" s="66">
        <f>가정_Case1!$B$5*(1-가정_Case1!$B$7)^(A10-1)</f>
        <v/>
      </c>
      <c r="C10" s="66">
        <f>가정_Case1!$B$6</f>
        <v/>
      </c>
      <c r="D10" s="66">
        <f>B10-C10</f>
        <v/>
      </c>
      <c r="E10" s="66">
        <f>가정_Case1!$B$9*(1+가정_Case1!$B$10)^(A10-1)</f>
        <v/>
      </c>
      <c r="F10" s="64">
        <f>D10*E10</f>
        <v/>
      </c>
      <c r="G10" s="64">
        <f>가정_Case1!$B$27*(1+가정_Case1!$B$11)^(A10-1)</f>
        <v/>
      </c>
      <c r="H10" s="64">
        <f>IF(MOD(A10,가정_Case1!$B$28)=0,가정_Case1!$B$29*(1+가정_Case1!$B$11)^A10,0)</f>
        <v/>
      </c>
      <c r="I10" s="64">
        <f>F10-G10-H10</f>
        <v/>
      </c>
      <c r="J10" s="65">
        <f>1/(1+가정_Case1!$B$12)^A10</f>
        <v/>
      </c>
      <c r="K10" s="64">
        <f>I10*J10</f>
        <v/>
      </c>
      <c r="L10" s="64">
        <f>L9+K10</f>
        <v/>
      </c>
    </row>
    <row r="11" ht="15" customHeight="1" s="45">
      <c r="A11" s="34" t="n">
        <v>7</v>
      </c>
      <c r="B11" s="66">
        <f>가정_Case1!$B$5*(1-가정_Case1!$B$7)^(A11-1)</f>
        <v/>
      </c>
      <c r="C11" s="66">
        <f>가정_Case1!$B$6</f>
        <v/>
      </c>
      <c r="D11" s="66">
        <f>B11-C11</f>
        <v/>
      </c>
      <c r="E11" s="66">
        <f>가정_Case1!$B$9*(1+가정_Case1!$B$10)^(A11-1)</f>
        <v/>
      </c>
      <c r="F11" s="64">
        <f>D11*E11</f>
        <v/>
      </c>
      <c r="G11" s="64">
        <f>가정_Case1!$B$27*(1+가정_Case1!$B$11)^(A11-1)</f>
        <v/>
      </c>
      <c r="H11" s="64">
        <f>IF(MOD(A11,가정_Case1!$B$28)=0,가정_Case1!$B$29*(1+가정_Case1!$B$11)^A11,0)</f>
        <v/>
      </c>
      <c r="I11" s="64">
        <f>F11-G11-H11</f>
        <v/>
      </c>
      <c r="J11" s="65">
        <f>1/(1+가정_Case1!$B$12)^A11</f>
        <v/>
      </c>
      <c r="K11" s="64">
        <f>I11*J11</f>
        <v/>
      </c>
      <c r="L11" s="64">
        <f>L10+K11</f>
        <v/>
      </c>
    </row>
    <row r="12" ht="15" customHeight="1" s="45">
      <c r="A12" s="34" t="n">
        <v>8</v>
      </c>
      <c r="B12" s="66">
        <f>가정_Case1!$B$5*(1-가정_Case1!$B$7)^(A12-1)</f>
        <v/>
      </c>
      <c r="C12" s="66">
        <f>가정_Case1!$B$6</f>
        <v/>
      </c>
      <c r="D12" s="66">
        <f>B12-C12</f>
        <v/>
      </c>
      <c r="E12" s="66">
        <f>가정_Case1!$B$9*(1+가정_Case1!$B$10)^(A12-1)</f>
        <v/>
      </c>
      <c r="F12" s="64">
        <f>D12*E12</f>
        <v/>
      </c>
      <c r="G12" s="64">
        <f>가정_Case1!$B$27*(1+가정_Case1!$B$11)^(A12-1)</f>
        <v/>
      </c>
      <c r="H12" s="64">
        <f>IF(MOD(A12,가정_Case1!$B$28)=0,가정_Case1!$B$29*(1+가정_Case1!$B$11)^A12,0)</f>
        <v/>
      </c>
      <c r="I12" s="64">
        <f>F12-G12-H12</f>
        <v/>
      </c>
      <c r="J12" s="65">
        <f>1/(1+가정_Case1!$B$12)^A12</f>
        <v/>
      </c>
      <c r="K12" s="64">
        <f>I12*J12</f>
        <v/>
      </c>
      <c r="L12" s="64">
        <f>L11+K12</f>
        <v/>
      </c>
    </row>
    <row r="13" ht="15" customHeight="1" s="45">
      <c r="A13" s="34" t="n">
        <v>9</v>
      </c>
      <c r="B13" s="66">
        <f>가정_Case1!$B$5*(1-가정_Case1!$B$7)^(A13-1)</f>
        <v/>
      </c>
      <c r="C13" s="66">
        <f>가정_Case1!$B$6</f>
        <v/>
      </c>
      <c r="D13" s="66">
        <f>B13-C13</f>
        <v/>
      </c>
      <c r="E13" s="66">
        <f>가정_Case1!$B$9*(1+가정_Case1!$B$10)^(A13-1)</f>
        <v/>
      </c>
      <c r="F13" s="64">
        <f>D13*E13</f>
        <v/>
      </c>
      <c r="G13" s="64">
        <f>가정_Case1!$B$27*(1+가정_Case1!$B$11)^(A13-1)</f>
        <v/>
      </c>
      <c r="H13" s="64">
        <f>IF(MOD(A13,가정_Case1!$B$28)=0,가정_Case1!$B$29*(1+가정_Case1!$B$11)^A13,0)</f>
        <v/>
      </c>
      <c r="I13" s="64">
        <f>F13-G13-H13</f>
        <v/>
      </c>
      <c r="J13" s="65">
        <f>1/(1+가정_Case1!$B$12)^A13</f>
        <v/>
      </c>
      <c r="K13" s="64">
        <f>I13*J13</f>
        <v/>
      </c>
      <c r="L13" s="64">
        <f>L12+K13</f>
        <v/>
      </c>
    </row>
    <row r="14" ht="15" customHeight="1" s="45">
      <c r="A14" s="34" t="n">
        <v>10</v>
      </c>
      <c r="B14" s="66">
        <f>가정_Case1!$B$5*(1-가정_Case1!$B$7)^(A14-1)</f>
        <v/>
      </c>
      <c r="C14" s="66">
        <f>가정_Case1!$B$6</f>
        <v/>
      </c>
      <c r="D14" s="66">
        <f>B14-C14</f>
        <v/>
      </c>
      <c r="E14" s="66">
        <f>가정_Case1!$B$9*(1+가정_Case1!$B$10)^(A14-1)</f>
        <v/>
      </c>
      <c r="F14" s="64">
        <f>D14*E14</f>
        <v/>
      </c>
      <c r="G14" s="64">
        <f>가정_Case1!$B$27*(1+가정_Case1!$B$11)^(A14-1)</f>
        <v/>
      </c>
      <c r="H14" s="64">
        <f>IF(MOD(A14,가정_Case1!$B$28)=0,가정_Case1!$B$29*(1+가정_Case1!$B$11)^A14,0)</f>
        <v/>
      </c>
      <c r="I14" s="64">
        <f>F14-G14-H14</f>
        <v/>
      </c>
      <c r="J14" s="65">
        <f>1/(1+가정_Case1!$B$12)^A14</f>
        <v/>
      </c>
      <c r="K14" s="64">
        <f>I14*J14</f>
        <v/>
      </c>
      <c r="L14" s="64">
        <f>L13+K14</f>
        <v/>
      </c>
    </row>
    <row r="15" ht="15" customHeight="1" s="45">
      <c r="A15" s="34" t="n">
        <v>11</v>
      </c>
      <c r="B15" s="66">
        <f>가정_Case1!$B$5*(1-가정_Case1!$B$7)^(A15-1)</f>
        <v/>
      </c>
      <c r="C15" s="66">
        <f>가정_Case1!$B$6</f>
        <v/>
      </c>
      <c r="D15" s="66">
        <f>B15-C15</f>
        <v/>
      </c>
      <c r="E15" s="66">
        <f>가정_Case1!$B$9*(1+가정_Case1!$B$10)^(A15-1)</f>
        <v/>
      </c>
      <c r="F15" s="64">
        <f>D15*E15</f>
        <v/>
      </c>
      <c r="G15" s="64">
        <f>가정_Case1!$B$27*(1+가정_Case1!$B$11)^(A15-1)</f>
        <v/>
      </c>
      <c r="H15" s="64">
        <f>IF(MOD(A15,가정_Case1!$B$28)=0,가정_Case1!$B$29*(1+가정_Case1!$B$11)^A15,0)</f>
        <v/>
      </c>
      <c r="I15" s="64">
        <f>F15-G15-H15</f>
        <v/>
      </c>
      <c r="J15" s="65">
        <f>1/(1+가정_Case1!$B$12)^A15</f>
        <v/>
      </c>
      <c r="K15" s="64">
        <f>I15*J15</f>
        <v/>
      </c>
      <c r="L15" s="64">
        <f>L14+K15</f>
        <v/>
      </c>
    </row>
    <row r="16" ht="15" customHeight="1" s="45">
      <c r="A16" s="34" t="n">
        <v>12</v>
      </c>
      <c r="B16" s="66">
        <f>가정_Case1!$B$5*(1-가정_Case1!$B$7)^(A16-1)</f>
        <v/>
      </c>
      <c r="C16" s="66">
        <f>가정_Case1!$B$6</f>
        <v/>
      </c>
      <c r="D16" s="66">
        <f>B16-C16</f>
        <v/>
      </c>
      <c r="E16" s="66">
        <f>가정_Case1!$B$9*(1+가정_Case1!$B$10)^(A16-1)</f>
        <v/>
      </c>
      <c r="F16" s="64">
        <f>D16*E16</f>
        <v/>
      </c>
      <c r="G16" s="64">
        <f>가정_Case1!$B$27*(1+가정_Case1!$B$11)^(A16-1)</f>
        <v/>
      </c>
      <c r="H16" s="64">
        <f>IF(MOD(A16,가정_Case1!$B$28)=0,가정_Case1!$B$29*(1+가정_Case1!$B$11)^A16,0)</f>
        <v/>
      </c>
      <c r="I16" s="64">
        <f>F16-G16-H16</f>
        <v/>
      </c>
      <c r="J16" s="65">
        <f>1/(1+가정_Case1!$B$12)^A16</f>
        <v/>
      </c>
      <c r="K16" s="64">
        <f>I16*J16</f>
        <v/>
      </c>
      <c r="L16" s="64">
        <f>L15+K16</f>
        <v/>
      </c>
    </row>
    <row r="17" ht="15" customHeight="1" s="45">
      <c r="A17" s="34" t="n">
        <v>13</v>
      </c>
      <c r="B17" s="66">
        <f>가정_Case1!$B$5*(1-가정_Case1!$B$7)^(A17-1)</f>
        <v/>
      </c>
      <c r="C17" s="66">
        <f>가정_Case1!$B$6</f>
        <v/>
      </c>
      <c r="D17" s="66">
        <f>B17-C17</f>
        <v/>
      </c>
      <c r="E17" s="66">
        <f>가정_Case1!$B$9*(1+가정_Case1!$B$10)^(A17-1)</f>
        <v/>
      </c>
      <c r="F17" s="64">
        <f>D17*E17</f>
        <v/>
      </c>
      <c r="G17" s="64">
        <f>가정_Case1!$B$27*(1+가정_Case1!$B$11)^(A17-1)</f>
        <v/>
      </c>
      <c r="H17" s="64">
        <f>IF(MOD(A17,가정_Case1!$B$28)=0,가정_Case1!$B$29*(1+가정_Case1!$B$11)^A17,0)</f>
        <v/>
      </c>
      <c r="I17" s="64">
        <f>F17-G17-H17</f>
        <v/>
      </c>
      <c r="J17" s="65">
        <f>1/(1+가정_Case1!$B$12)^A17</f>
        <v/>
      </c>
      <c r="K17" s="64">
        <f>I17*J17</f>
        <v/>
      </c>
      <c r="L17" s="64">
        <f>L16+K17</f>
        <v/>
      </c>
    </row>
    <row r="18" ht="15" customHeight="1" s="45">
      <c r="A18" s="34" t="n">
        <v>14</v>
      </c>
      <c r="B18" s="66">
        <f>가정_Case1!$B$5*(1-가정_Case1!$B$7)^(A18-1)</f>
        <v/>
      </c>
      <c r="C18" s="66">
        <f>가정_Case1!$B$6</f>
        <v/>
      </c>
      <c r="D18" s="66">
        <f>B18-C18</f>
        <v/>
      </c>
      <c r="E18" s="66">
        <f>가정_Case1!$B$9*(1+가정_Case1!$B$10)^(A18-1)</f>
        <v/>
      </c>
      <c r="F18" s="64">
        <f>D18*E18</f>
        <v/>
      </c>
      <c r="G18" s="64">
        <f>가정_Case1!$B$27*(1+가정_Case1!$B$11)^(A18-1)</f>
        <v/>
      </c>
      <c r="H18" s="64">
        <f>IF(MOD(A18,가정_Case1!$B$28)=0,가정_Case1!$B$29*(1+가정_Case1!$B$11)^A18,0)</f>
        <v/>
      </c>
      <c r="I18" s="64">
        <f>F18-G18-H18</f>
        <v/>
      </c>
      <c r="J18" s="65">
        <f>1/(1+가정_Case1!$B$12)^A18</f>
        <v/>
      </c>
      <c r="K18" s="64">
        <f>I18*J18</f>
        <v/>
      </c>
      <c r="L18" s="64">
        <f>L17+K18</f>
        <v/>
      </c>
    </row>
    <row r="19" ht="15" customHeight="1" s="45">
      <c r="A19" s="34" t="n">
        <v>15</v>
      </c>
      <c r="B19" s="66">
        <f>가정_Case1!$B$5*(1-가정_Case1!$B$7)^(A19-1)</f>
        <v/>
      </c>
      <c r="C19" s="66">
        <f>가정_Case1!$B$6</f>
        <v/>
      </c>
      <c r="D19" s="66">
        <f>B19-C19</f>
        <v/>
      </c>
      <c r="E19" s="66">
        <f>가정_Case1!$B$9*(1+가정_Case1!$B$10)^(A19-1)</f>
        <v/>
      </c>
      <c r="F19" s="64">
        <f>D19*E19</f>
        <v/>
      </c>
      <c r="G19" s="64">
        <f>가정_Case1!$B$27*(1+가정_Case1!$B$11)^(A19-1)</f>
        <v/>
      </c>
      <c r="H19" s="64">
        <f>IF(MOD(A19,가정_Case1!$B$28)=0,가정_Case1!$B$29*(1+가정_Case1!$B$11)^A19,0)</f>
        <v/>
      </c>
      <c r="I19" s="64">
        <f>F19-G19-H19</f>
        <v/>
      </c>
      <c r="J19" s="65">
        <f>1/(1+가정_Case1!$B$12)^A19</f>
        <v/>
      </c>
      <c r="K19" s="64">
        <f>I19*J19</f>
        <v/>
      </c>
      <c r="L19" s="64">
        <f>L18+K19</f>
        <v/>
      </c>
    </row>
    <row r="20" ht="15" customHeight="1" s="45">
      <c r="A20" s="34" t="n">
        <v>16</v>
      </c>
      <c r="B20" s="66">
        <f>가정_Case1!$B$5*(1-가정_Case1!$B$7)^(A20-1)</f>
        <v/>
      </c>
      <c r="C20" s="66">
        <f>가정_Case1!$B$6</f>
        <v/>
      </c>
      <c r="D20" s="66">
        <f>B20-C20</f>
        <v/>
      </c>
      <c r="E20" s="66">
        <f>가정_Case1!$B$9*(1+가정_Case1!$B$10)^(A20-1)</f>
        <v/>
      </c>
      <c r="F20" s="64">
        <f>D20*E20</f>
        <v/>
      </c>
      <c r="G20" s="64">
        <f>가정_Case1!$B$27*(1+가정_Case1!$B$11)^(A20-1)</f>
        <v/>
      </c>
      <c r="H20" s="64">
        <f>IF(MOD(A20,가정_Case1!$B$28)=0,가정_Case1!$B$29*(1+가정_Case1!$B$11)^A20,0)</f>
        <v/>
      </c>
      <c r="I20" s="64">
        <f>F20-G20-H20</f>
        <v/>
      </c>
      <c r="J20" s="65">
        <f>1/(1+가정_Case1!$B$12)^A20</f>
        <v/>
      </c>
      <c r="K20" s="64">
        <f>I20*J20</f>
        <v/>
      </c>
      <c r="L20" s="64">
        <f>L19+K20</f>
        <v/>
      </c>
    </row>
    <row r="21" ht="15" customHeight="1" s="45">
      <c r="A21" s="34" t="n">
        <v>17</v>
      </c>
      <c r="B21" s="66">
        <f>가정_Case1!$B$5*(1-가정_Case1!$B$7)^(A21-1)</f>
        <v/>
      </c>
      <c r="C21" s="66">
        <f>가정_Case1!$B$6</f>
        <v/>
      </c>
      <c r="D21" s="66">
        <f>B21-C21</f>
        <v/>
      </c>
      <c r="E21" s="66">
        <f>가정_Case1!$B$9*(1+가정_Case1!$B$10)^(A21-1)</f>
        <v/>
      </c>
      <c r="F21" s="64">
        <f>D21*E21</f>
        <v/>
      </c>
      <c r="G21" s="64">
        <f>가정_Case1!$B$27*(1+가정_Case1!$B$11)^(A21-1)</f>
        <v/>
      </c>
      <c r="H21" s="64">
        <f>IF(MOD(A21,가정_Case1!$B$28)=0,가정_Case1!$B$29*(1+가정_Case1!$B$11)^A21,0)</f>
        <v/>
      </c>
      <c r="I21" s="64">
        <f>F21-G21-H21</f>
        <v/>
      </c>
      <c r="J21" s="65">
        <f>1/(1+가정_Case1!$B$12)^A21</f>
        <v/>
      </c>
      <c r="K21" s="64">
        <f>I21*J21</f>
        <v/>
      </c>
      <c r="L21" s="64">
        <f>L20+K21</f>
        <v/>
      </c>
    </row>
    <row r="22" ht="15" customHeight="1" s="45">
      <c r="A22" s="34" t="n">
        <v>18</v>
      </c>
      <c r="B22" s="66">
        <f>가정_Case1!$B$5*(1-가정_Case1!$B$7)^(A22-1)</f>
        <v/>
      </c>
      <c r="C22" s="66">
        <f>가정_Case1!$B$6</f>
        <v/>
      </c>
      <c r="D22" s="66">
        <f>B22-C22</f>
        <v/>
      </c>
      <c r="E22" s="66">
        <f>가정_Case1!$B$9*(1+가정_Case1!$B$10)^(A22-1)</f>
        <v/>
      </c>
      <c r="F22" s="64">
        <f>D22*E22</f>
        <v/>
      </c>
      <c r="G22" s="64">
        <f>가정_Case1!$B$27*(1+가정_Case1!$B$11)^(A22-1)</f>
        <v/>
      </c>
      <c r="H22" s="64">
        <f>IF(MOD(A22,가정_Case1!$B$28)=0,가정_Case1!$B$29*(1+가정_Case1!$B$11)^A22,0)</f>
        <v/>
      </c>
      <c r="I22" s="64">
        <f>F22-G22-H22</f>
        <v/>
      </c>
      <c r="J22" s="65">
        <f>1/(1+가정_Case1!$B$12)^A22</f>
        <v/>
      </c>
      <c r="K22" s="64">
        <f>I22*J22</f>
        <v/>
      </c>
      <c r="L22" s="64">
        <f>L21+K22</f>
        <v/>
      </c>
    </row>
    <row r="23" ht="15" customHeight="1" s="45">
      <c r="A23" s="34" t="n">
        <v>19</v>
      </c>
      <c r="B23" s="66">
        <f>가정_Case1!$B$5*(1-가정_Case1!$B$7)^(A23-1)</f>
        <v/>
      </c>
      <c r="C23" s="66">
        <f>가정_Case1!$B$6</f>
        <v/>
      </c>
      <c r="D23" s="66">
        <f>B23-C23</f>
        <v/>
      </c>
      <c r="E23" s="66">
        <f>가정_Case1!$B$9*(1+가정_Case1!$B$10)^(A23-1)</f>
        <v/>
      </c>
      <c r="F23" s="64">
        <f>D23*E23</f>
        <v/>
      </c>
      <c r="G23" s="64">
        <f>가정_Case1!$B$27*(1+가정_Case1!$B$11)^(A23-1)</f>
        <v/>
      </c>
      <c r="H23" s="64">
        <f>IF(MOD(A23,가정_Case1!$B$28)=0,가정_Case1!$B$29*(1+가정_Case1!$B$11)^A23,0)</f>
        <v/>
      </c>
      <c r="I23" s="64">
        <f>F23-G23-H23</f>
        <v/>
      </c>
      <c r="J23" s="65">
        <f>1/(1+가정_Case1!$B$12)^A23</f>
        <v/>
      </c>
      <c r="K23" s="64">
        <f>I23*J23</f>
        <v/>
      </c>
      <c r="L23" s="64">
        <f>L22+K23</f>
        <v/>
      </c>
    </row>
    <row r="24" ht="15" customHeight="1" s="45">
      <c r="A24" s="34" t="n">
        <v>20</v>
      </c>
      <c r="B24" s="66">
        <f>가정_Case1!$B$5*(1-가정_Case1!$B$7)^(A24-1)</f>
        <v/>
      </c>
      <c r="C24" s="66">
        <f>가정_Case1!$B$6</f>
        <v/>
      </c>
      <c r="D24" s="66">
        <f>B24-C24</f>
        <v/>
      </c>
      <c r="E24" s="66">
        <f>가정_Case1!$B$9*(1+가정_Case1!$B$10)^(A24-1)</f>
        <v/>
      </c>
      <c r="F24" s="64">
        <f>D24*E24</f>
        <v/>
      </c>
      <c r="G24" s="64">
        <f>가정_Case1!$B$27*(1+가정_Case1!$B$11)^(A24-1)</f>
        <v/>
      </c>
      <c r="H24" s="64">
        <f>IF(MOD(A24,가정_Case1!$B$28)=0,가정_Case1!$B$29*(1+가정_Case1!$B$11)^A24,0)</f>
        <v/>
      </c>
      <c r="I24" s="64">
        <f>F24-G24-H24</f>
        <v/>
      </c>
      <c r="J24" s="65">
        <f>1/(1+가정_Case1!$B$12)^A24</f>
        <v/>
      </c>
      <c r="K24" s="64">
        <f>I24*J24</f>
        <v/>
      </c>
      <c r="L24" s="64">
        <f>L23+K24</f>
        <v/>
      </c>
    </row>
    <row r="25" ht="15" customHeight="1" s="45">
      <c r="A25" s="34" t="n">
        <v>21</v>
      </c>
      <c r="B25" s="66">
        <f>가정_Case1!$B$5*(1-가정_Case1!$B$7)^(A25-1)</f>
        <v/>
      </c>
      <c r="C25" s="66">
        <f>가정_Case1!$B$6</f>
        <v/>
      </c>
      <c r="D25" s="66">
        <f>B25-C25</f>
        <v/>
      </c>
      <c r="E25" s="66">
        <f>가정_Case1!$B$9*(1+가정_Case1!$B$10)^(A25-1)</f>
        <v/>
      </c>
      <c r="F25" s="64">
        <f>D25*E25</f>
        <v/>
      </c>
      <c r="G25" s="64">
        <f>가정_Case1!$B$27*(1+가정_Case1!$B$11)^(A25-1)</f>
        <v/>
      </c>
      <c r="H25" s="64">
        <f>IF(MOD(A25,가정_Case1!$B$28)=0,가정_Case1!$B$29*(1+가정_Case1!$B$11)^A25,0)</f>
        <v/>
      </c>
      <c r="I25" s="64">
        <f>F25-G25-H25</f>
        <v/>
      </c>
      <c r="J25" s="65">
        <f>1/(1+가정_Case1!$B$12)^A25</f>
        <v/>
      </c>
      <c r="K25" s="64">
        <f>I25*J25</f>
        <v/>
      </c>
      <c r="L25" s="64">
        <f>L24+K25</f>
        <v/>
      </c>
    </row>
    <row r="26" ht="15" customHeight="1" s="45">
      <c r="A26" s="34" t="n">
        <v>22</v>
      </c>
      <c r="B26" s="66">
        <f>가정_Case1!$B$5*(1-가정_Case1!$B$7)^(A26-1)</f>
        <v/>
      </c>
      <c r="C26" s="66">
        <f>가정_Case1!$B$6</f>
        <v/>
      </c>
      <c r="D26" s="66">
        <f>B26-C26</f>
        <v/>
      </c>
      <c r="E26" s="66">
        <f>가정_Case1!$B$9*(1+가정_Case1!$B$10)^(A26-1)</f>
        <v/>
      </c>
      <c r="F26" s="64">
        <f>D26*E26</f>
        <v/>
      </c>
      <c r="G26" s="64">
        <f>가정_Case1!$B$27*(1+가정_Case1!$B$11)^(A26-1)</f>
        <v/>
      </c>
      <c r="H26" s="64">
        <f>IF(MOD(A26,가정_Case1!$B$28)=0,가정_Case1!$B$29*(1+가정_Case1!$B$11)^A26,0)</f>
        <v/>
      </c>
      <c r="I26" s="64">
        <f>F26-G26-H26</f>
        <v/>
      </c>
      <c r="J26" s="65">
        <f>1/(1+가정_Case1!$B$12)^A26</f>
        <v/>
      </c>
      <c r="K26" s="64">
        <f>I26*J26</f>
        <v/>
      </c>
      <c r="L26" s="64">
        <f>L25+K26</f>
        <v/>
      </c>
    </row>
    <row r="27" ht="15" customHeight="1" s="45">
      <c r="A27" s="34" t="n">
        <v>23</v>
      </c>
      <c r="B27" s="66">
        <f>가정_Case1!$B$5*(1-가정_Case1!$B$7)^(A27-1)</f>
        <v/>
      </c>
      <c r="C27" s="66">
        <f>가정_Case1!$B$6</f>
        <v/>
      </c>
      <c r="D27" s="66">
        <f>B27-C27</f>
        <v/>
      </c>
      <c r="E27" s="66">
        <f>가정_Case1!$B$9*(1+가정_Case1!$B$10)^(A27-1)</f>
        <v/>
      </c>
      <c r="F27" s="64">
        <f>D27*E27</f>
        <v/>
      </c>
      <c r="G27" s="64">
        <f>가정_Case1!$B$27*(1+가정_Case1!$B$11)^(A27-1)</f>
        <v/>
      </c>
      <c r="H27" s="64">
        <f>IF(MOD(A27,가정_Case1!$B$28)=0,가정_Case1!$B$29*(1+가정_Case1!$B$11)^A27,0)</f>
        <v/>
      </c>
      <c r="I27" s="64">
        <f>F27-G27-H27</f>
        <v/>
      </c>
      <c r="J27" s="65">
        <f>1/(1+가정_Case1!$B$12)^A27</f>
        <v/>
      </c>
      <c r="K27" s="64">
        <f>I27*J27</f>
        <v/>
      </c>
      <c r="L27" s="64">
        <f>L26+K27</f>
        <v/>
      </c>
    </row>
    <row r="28" ht="15" customHeight="1" s="45">
      <c r="A28" s="34" t="n">
        <v>24</v>
      </c>
      <c r="B28" s="66">
        <f>가정_Case1!$B$5*(1-가정_Case1!$B$7)^(A28-1)</f>
        <v/>
      </c>
      <c r="C28" s="66">
        <f>가정_Case1!$B$6</f>
        <v/>
      </c>
      <c r="D28" s="66">
        <f>B28-C28</f>
        <v/>
      </c>
      <c r="E28" s="66">
        <f>가정_Case1!$B$9*(1+가정_Case1!$B$10)^(A28-1)</f>
        <v/>
      </c>
      <c r="F28" s="64">
        <f>D28*E28</f>
        <v/>
      </c>
      <c r="G28" s="64">
        <f>가정_Case1!$B$27*(1+가정_Case1!$B$11)^(A28-1)</f>
        <v/>
      </c>
      <c r="H28" s="64">
        <f>IF(MOD(A28,가정_Case1!$B$28)=0,가정_Case1!$B$29*(1+가정_Case1!$B$11)^A28,0)</f>
        <v/>
      </c>
      <c r="I28" s="64">
        <f>F28-G28-H28</f>
        <v/>
      </c>
      <c r="J28" s="65">
        <f>1/(1+가정_Case1!$B$12)^A28</f>
        <v/>
      </c>
      <c r="K28" s="64">
        <f>I28*J28</f>
        <v/>
      </c>
      <c r="L28" s="64">
        <f>L27+K28</f>
        <v/>
      </c>
    </row>
    <row r="29" ht="15" customHeight="1" s="45">
      <c r="A29" s="34" t="n">
        <v>25</v>
      </c>
      <c r="B29" s="66">
        <f>가정_Case1!$B$5*(1-가정_Case1!$B$7)^(A29-1)</f>
        <v/>
      </c>
      <c r="C29" s="66">
        <f>가정_Case1!$B$6</f>
        <v/>
      </c>
      <c r="D29" s="66">
        <f>B29-C29</f>
        <v/>
      </c>
      <c r="E29" s="66">
        <f>가정_Case1!$B$9*(1+가정_Case1!$B$10)^(A29-1)</f>
        <v/>
      </c>
      <c r="F29" s="64">
        <f>D29*E29</f>
        <v/>
      </c>
      <c r="G29" s="64">
        <f>가정_Case1!$B$27*(1+가정_Case1!$B$11)^(A29-1)</f>
        <v/>
      </c>
      <c r="H29" s="64">
        <f>IF(MOD(A29,가정_Case1!$B$28)=0,가정_Case1!$B$29*(1+가정_Case1!$B$11)^A29,0)</f>
        <v/>
      </c>
      <c r="I29" s="64">
        <f>F29-G29-H29</f>
        <v/>
      </c>
      <c r="J29" s="65">
        <f>1/(1+가정_Case1!$B$12)^A29</f>
        <v/>
      </c>
      <c r="K29" s="64">
        <f>I29*J29</f>
        <v/>
      </c>
      <c r="L29" s="64">
        <f>L28+K29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ColWidth="8.7109375" defaultRowHeight="15"/>
  <cols>
    <col width="24" customWidth="1" style="45" min="1" max="1"/>
    <col width="16" customWidth="1" style="45" min="2" max="3"/>
  </cols>
  <sheetData>
    <row r="1" ht="19.5" customHeight="1" s="45">
      <c r="A1" s="44" t="inlineStr">
        <is>
          <t>Base 모델 (BIPV 미설치) — 결과 요약</t>
        </is>
      </c>
    </row>
    <row r="3" ht="16.5" customHeight="1" s="45">
      <c r="A3" s="2" t="inlineStr">
        <is>
          <t>지표</t>
        </is>
      </c>
      <c r="B3" s="2" t="inlineStr">
        <is>
          <t>값</t>
        </is>
      </c>
      <c r="C3" s="2" t="inlineStr">
        <is>
          <t>단위</t>
        </is>
      </c>
    </row>
    <row r="4" ht="16.5" customHeight="1" s="45">
      <c r="A4" s="3" t="inlineStr">
        <is>
          <t>총 CAPEX</t>
        </is>
      </c>
      <c r="B4" s="55">
        <f>가정_Case1!B23</f>
        <v/>
      </c>
      <c r="C4" s="3" t="inlineStr">
        <is>
          <t>원</t>
        </is>
      </c>
    </row>
    <row r="5" ht="16.5" customHeight="1" s="45">
      <c r="A5" s="5" t="inlineStr">
        <is>
          <t>NPV (순현재가치)</t>
        </is>
      </c>
      <c r="B5" s="55">
        <f>SUM(현금흐름_Case1!K4:K29)</f>
        <v/>
      </c>
      <c r="C5" s="3" t="inlineStr">
        <is>
          <t>원</t>
        </is>
      </c>
    </row>
    <row r="6" ht="16.5" customHeight="1" s="45">
      <c r="A6" s="5" t="inlineStr">
        <is>
          <t>IRR (내부수익률)</t>
        </is>
      </c>
      <c r="B6" s="67">
        <f>IRR(현금흐름_Case1!I4:I29)</f>
        <v/>
      </c>
      <c r="C6" s="5" t="inlineStr">
        <is>
          <t>%</t>
        </is>
      </c>
    </row>
    <row r="7" ht="16.5" customHeight="1" s="45">
      <c r="A7" s="5" t="inlineStr">
        <is>
          <t>LCOE (균등화발전원가)</t>
        </is>
      </c>
      <c r="B7" s="68">
        <f>(가정_Case1!B23+SUMPRODUCT(현금흐름_Case1!G5:G29+현금흐름_Case1!H5:H29,현금흐름_Case1!J5:J29))/SUMPRODUCT(현금흐름_Case1!D5:D29,현금흐름_Case1!J5:J29)</f>
        <v/>
      </c>
      <c r="C7" s="3" t="inlineStr">
        <is>
          <t>원/kWh</t>
        </is>
      </c>
    </row>
    <row r="8" ht="15" customHeight="1" s="45">
      <c r="A8" s="3" t="inlineStr">
        <is>
          <t>할인 회수기간</t>
        </is>
      </c>
      <c r="B8" s="69">
        <f>IFERROR((COUNTIF(현금흐름_Case1!L4:L29,"&lt;0")-1)+(-INDEX(현금흐름_Case1!L4:L29,COUNTIF(현금흐름_Case1!L4:L29,"&lt;0")))/INDEX(현금흐름_Case1!K4:K29,COUNTIF(현금흐름_Case1!L4:L29,"&lt;0")+1),"25년내 미회수")</f>
        <v/>
      </c>
      <c r="C8" s="3" t="inlineStr">
        <is>
          <t>년</t>
        </is>
      </c>
    </row>
    <row r="10" ht="16.5" customHeight="1" s="45">
      <c r="A10" s="49" t="inlineStr">
        <is>
          <t>판정</t>
        </is>
      </c>
      <c r="B10" s="49">
        <f>IF(B5&gt;0,"투자가치 있음 (NPV&gt;0)","투자 부적합 (NPV&lt;0)")</f>
        <v/>
      </c>
      <c r="C10" s="42" t="n"/>
    </row>
  </sheetData>
  <mergeCells count="2">
    <mergeCell ref="A1:C1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F1" sqref="F1"/>
    </sheetView>
  </sheetViews>
  <sheetFormatPr baseColWidth="8" defaultColWidth="8.7109375" defaultRowHeight="15"/>
  <cols>
    <col width="30" customWidth="1" style="45" min="1" max="1"/>
    <col width="15" customWidth="1" style="45" min="2" max="2"/>
    <col width="22" customWidth="1" style="45" min="3" max="3"/>
    <col width="18" customWidth="1" style="45" min="4" max="4"/>
    <col width="50" customWidth="1" style="45" min="5" max="5"/>
  </cols>
  <sheetData>
    <row r="1" ht="19.5" customHeight="1" s="45">
      <c r="A1" s="44" t="inlineStr">
        <is>
          <t>정적 BIPV (고정 90°) — 가정 및 근거</t>
        </is>
      </c>
    </row>
    <row r="3" ht="16.5" customHeight="1" s="45">
      <c r="A3" s="2" t="inlineStr">
        <is>
          <t>항목</t>
        </is>
      </c>
      <c r="B3" s="2" t="inlineStr">
        <is>
          <t>값</t>
        </is>
      </c>
      <c r="C3" s="2" t="inlineStr">
        <is>
          <t>단위</t>
        </is>
      </c>
      <c r="D3" s="2" t="inlineStr">
        <is>
          <t>근거 / 출처</t>
        </is>
      </c>
      <c r="E3" s="2" t="n"/>
    </row>
    <row r="4" ht="15" customHeight="1" s="45">
      <c r="A4" s="46" t="inlineStr">
        <is>
          <t>— 발전 및 경제 가정 —</t>
        </is>
      </c>
    </row>
    <row r="5" ht="16.5" customHeight="1" s="45">
      <c r="A5" s="3" t="inlineStr">
        <is>
          <t>연간 발전량 (1년차, gross)</t>
        </is>
      </c>
      <c r="B5" s="50" t="n">
        <v>28356.4</v>
      </c>
      <c r="C5" s="5" t="inlineStr">
        <is>
          <t>kWh/년</t>
        </is>
      </c>
      <c r="D5" s="41" t="inlineStr">
        <is>
          <t>시뮬레이션 결과: 90° 고정각 연간 발전량 (18.18 MWh)</t>
        </is>
      </c>
      <c r="E5" s="42" t="n"/>
    </row>
    <row r="6" ht="16.5" customHeight="1" s="45">
      <c r="A6" s="3" t="inlineStr">
        <is>
          <t>키네틱 구동 소비전력</t>
        </is>
      </c>
      <c r="B6" s="50" t="n">
        <v>0</v>
      </c>
      <c r="C6" s="5" t="inlineStr">
        <is>
          <t>kWh/년</t>
        </is>
      </c>
      <c r="D6" s="41" t="inlineStr">
        <is>
          <t>고정형 — 구동 소비전력 없음</t>
        </is>
      </c>
      <c r="E6" s="42" t="n"/>
    </row>
    <row r="7" ht="16.5" customHeight="1" s="45">
      <c r="A7" s="3" t="inlineStr">
        <is>
          <t>패널 열화율</t>
        </is>
      </c>
      <c r="B7" s="51" t="n">
        <v>0.005</v>
      </c>
      <c r="C7" s="5" t="inlineStr">
        <is>
          <t>%/년</t>
        </is>
      </c>
      <c r="D7" s="43" t="inlineStr">
        <is>
          <t>NREL: 결정질 모듈 중앙값 0.5%/년 (25년차 약 88% 잔존)</t>
        </is>
      </c>
      <c r="E7" s="42" t="n"/>
    </row>
    <row r="8" ht="15" customHeight="1" s="45">
      <c r="A8" s="3" t="inlineStr">
        <is>
          <t>사업 기간</t>
        </is>
      </c>
      <c r="B8" s="7" t="n">
        <v>25</v>
      </c>
      <c r="C8" s="3" t="inlineStr">
        <is>
          <t>년</t>
        </is>
      </c>
      <c r="D8" s="43" t="inlineStr">
        <is>
          <t>PV 모듈 표준 수명·보증기간 통상 25년</t>
        </is>
      </c>
      <c r="E8" s="42" t="n"/>
    </row>
    <row r="9" ht="16.5" customHeight="1" s="45">
      <c r="A9" s="3" t="inlineStr">
        <is>
          <t>적용 전기요금 (1년차 가중평균 청구단가)</t>
        </is>
      </c>
      <c r="B9" s="52">
        <f>C37</f>
        <v/>
      </c>
      <c r="C9" s="3" t="inlineStr">
        <is>
          <t>원/kWh</t>
        </is>
      </c>
      <c r="D9" s="41" t="inlineStr">
        <is>
          <t>기본요금 제외, 전력량요금 가중평균에 기후환경요금(9원/kWh) 및 연료비조정요금(5원/kWh)을 더한 후 VAT(10%)와 전력기금(2.7%)을 합산한 최종 청구단가</t>
        </is>
      </c>
      <c r="E9" s="42" t="n"/>
    </row>
    <row r="10" ht="16.5" customHeight="1" s="45">
      <c r="A10" s="3" t="inlineStr">
        <is>
          <t>전기요금 상승률</t>
        </is>
      </c>
      <c r="B10" s="51" t="n">
        <v>0.05</v>
      </c>
      <c r="C10" s="5" t="inlineStr">
        <is>
          <t>%/년</t>
        </is>
      </c>
      <c r="D10" s="43" t="inlineStr">
        <is>
          <t>2021~24년 실적 약 11~15%/년(적자보전 catch-up)의 장기 완화치, 일반물가 상회 가정</t>
        </is>
      </c>
      <c r="E10" s="42" t="n"/>
    </row>
    <row r="11" ht="16.5" customHeight="1" s="45">
      <c r="A11" s="3" t="inlineStr">
        <is>
          <t>물가상승률</t>
        </is>
      </c>
      <c r="B11" s="51" t="n">
        <v>0.02</v>
      </c>
      <c r="C11" s="5" t="inlineStr">
        <is>
          <t>%/년</t>
        </is>
      </c>
      <c r="D11" s="41" t="inlineStr">
        <is>
          <t>한은 물가목표 2.0%·2026 전망 2.1%(최대 2.3%)·최근 2%대 중반, 보수적 2.5% 적용</t>
        </is>
      </c>
      <c r="E11" s="42" t="n"/>
    </row>
    <row r="12" ht="16.5" customHeight="1" s="45">
      <c r="A12" s="3" t="inlineStr">
        <is>
          <t>명목 할인율</t>
        </is>
      </c>
      <c r="B12" s="51" t="n">
        <v>0.055</v>
      </c>
      <c r="C12" s="5" t="inlineStr">
        <is>
          <t>%/년</t>
        </is>
      </c>
      <c r="D12" s="41" t="inlineStr">
        <is>
          <t>민간 hurdle rate. 참고: KDI 예타 사회적 할인율 4.5%(실질)≈명목 약 7%</t>
        </is>
      </c>
      <c r="E12" s="42" t="n"/>
    </row>
    <row r="14" ht="16.5" customHeight="1" s="45">
      <c r="A14" s="46" t="inlineStr">
        <is>
          <t>— 초기투자비 CAPEX —</t>
        </is>
      </c>
    </row>
    <row r="15" ht="15" customHeight="1" s="45">
      <c r="A15" s="3" t="inlineStr">
        <is>
          <t>태양광 모듈</t>
        </is>
      </c>
      <c r="B15" s="53">
        <f>300000*96</f>
        <v/>
      </c>
      <c r="C15" s="3" t="inlineStr">
        <is>
          <t>원</t>
        </is>
      </c>
      <c r="D15" s="41" t="inlineStr">
        <is>
          <t>사용자 제공: 97,000원 × 96개</t>
        </is>
      </c>
      <c r="E15" s="42" t="n"/>
    </row>
    <row r="16" ht="16.5" customHeight="1" s="45">
      <c r="A16" s="3" t="inlineStr">
        <is>
          <t>액추에이터 (추종 구동)</t>
        </is>
      </c>
      <c r="B16" s="53" t="n">
        <v>0</v>
      </c>
      <c r="C16" s="3" t="inlineStr">
        <is>
          <t>원</t>
        </is>
      </c>
      <c r="D16" s="41" t="inlineStr">
        <is>
          <t>고정형 — 액추에이터 불필요 (0원)</t>
        </is>
      </c>
      <c r="E16" s="42" t="n"/>
    </row>
    <row r="17" ht="16.5" customHeight="1" s="45">
      <c r="A17" s="3" t="inlineStr">
        <is>
          <t>구조·프레임</t>
        </is>
      </c>
      <c r="B17" s="52" t="n">
        <v>5000000</v>
      </c>
      <c r="C17" s="3" t="inlineStr">
        <is>
          <t>원</t>
        </is>
      </c>
      <c r="D17" s="41" t="inlineStr">
        <is>
          <t>고정형 프레임 — 키네틱 대비 단순화 적용 (5,000,000원)</t>
        </is>
      </c>
      <c r="E17" s="42" t="n"/>
    </row>
    <row r="18" ht="16.5" customHeight="1" s="45">
      <c r="A18" s="3" t="inlineStr">
        <is>
          <t>인버터·전력변환</t>
        </is>
      </c>
      <c r="B18" s="52">
        <f>5000000</f>
        <v/>
      </c>
      <c r="C18" s="3" t="inlineStr">
        <is>
          <t>원</t>
        </is>
      </c>
      <c r="D18" s="48" t="inlineStr">
        <is>
          <t>엔지니어링 추정: 약 40kWp 기준 (실견적 대체 권장)</t>
        </is>
      </c>
      <c r="E18" s="42" t="n"/>
    </row>
    <row r="19" ht="15" customHeight="1" s="45">
      <c r="A19" s="3" t="inlineStr">
        <is>
          <t>추종 제어시스템</t>
        </is>
      </c>
      <c r="B19" s="52" t="n">
        <v>0</v>
      </c>
      <c r="C19" s="3" t="inlineStr">
        <is>
          <t>원</t>
        </is>
      </c>
      <c r="D19" s="41" t="inlineStr">
        <is>
          <t>고정형 — 추종 제어시스템 불필요 (0원)</t>
        </is>
      </c>
      <c r="E19" s="42" t="n"/>
    </row>
    <row r="20" ht="16.5" customHeight="1" s="45">
      <c r="A20" s="3" t="inlineStr">
        <is>
          <t>전기 BOS (배선·보호·계측)</t>
        </is>
      </c>
      <c r="B20" s="52">
        <f>3000000</f>
        <v/>
      </c>
      <c r="C20" s="3" t="inlineStr">
        <is>
          <t>원</t>
        </is>
      </c>
      <c r="D20" s="41" t="inlineStr">
        <is>
          <t>엔지니어링 추정</t>
        </is>
      </c>
      <c r="E20" s="42" t="n"/>
    </row>
    <row r="21" ht="16.5" customHeight="1" s="45">
      <c r="A21" s="3" t="inlineStr">
        <is>
          <t>설치·시운전</t>
        </is>
      </c>
      <c r="B21" s="52" t="n">
        <v>4000000</v>
      </c>
      <c r="C21" s="3" t="inlineStr">
        <is>
          <t>원</t>
        </is>
      </c>
      <c r="D21" s="41" t="inlineStr">
        <is>
          <t>고정형 시공 — 키네틱 대비 저난이도 반영 (4,000,000원)</t>
        </is>
      </c>
      <c r="E21" s="42" t="n"/>
    </row>
    <row r="22" ht="16.5" customHeight="1" s="45">
      <c r="A22" s="3" t="inlineStr">
        <is>
          <t>설계·인허가</t>
        </is>
      </c>
      <c r="B22" s="52">
        <f>2500000</f>
        <v/>
      </c>
      <c r="C22" s="3" t="inlineStr">
        <is>
          <t>원</t>
        </is>
      </c>
      <c r="D22" s="41" t="inlineStr">
        <is>
          <t>엔지니어링 추정</t>
        </is>
      </c>
      <c r="E22" s="42" t="n"/>
    </row>
    <row r="23" ht="16.5" customHeight="1" s="45">
      <c r="A23" s="10" t="inlineStr">
        <is>
          <t>총 CAPEX</t>
        </is>
      </c>
      <c r="B23" s="54">
        <f>SUM(B15:B22)</f>
        <v/>
      </c>
      <c r="C23" s="12" t="inlineStr">
        <is>
          <t>원</t>
        </is>
      </c>
      <c r="D23" s="13" t="n"/>
      <c r="E23" s="13" t="n"/>
    </row>
    <row r="25" ht="16.5" customHeight="1" s="45">
      <c r="A25" s="46" t="inlineStr">
        <is>
          <t>— 운영비·교체비 —</t>
        </is>
      </c>
    </row>
    <row r="26" ht="16.5" customHeight="1" s="45">
      <c r="A26" s="5" t="inlineStr">
        <is>
          <t>O&amp;M 비율 (CAPEX 대비)</t>
        </is>
      </c>
      <c r="B26" s="51" t="n">
        <v>0.012</v>
      </c>
      <c r="C26" s="5" t="inlineStr">
        <is>
          <t>%/년</t>
        </is>
      </c>
      <c r="D26" s="43" t="inlineStr">
        <is>
          <t>NREL ATB 표준 PV O&amp;M 1.2% (가동부 없음)</t>
        </is>
      </c>
      <c r="E26" s="42" t="n"/>
    </row>
    <row r="27" ht="16.5" customHeight="1" s="45">
      <c r="A27" s="5" t="inlineStr">
        <is>
          <t>O&amp;M 1년차 금액</t>
        </is>
      </c>
      <c r="B27" s="55">
        <f>B23*B26</f>
        <v/>
      </c>
      <c r="C27" s="3" t="inlineStr">
        <is>
          <t>원/년</t>
        </is>
      </c>
      <c r="D27" s="41" t="inlineStr">
        <is>
          <t>총CAPEX x O&amp;M비율</t>
        </is>
      </c>
      <c r="E27" s="42" t="n"/>
    </row>
    <row r="28" ht="15" customHeight="1" s="45">
      <c r="A28" s="3" t="inlineStr">
        <is>
          <t>액추에이터 교체연도</t>
        </is>
      </c>
      <c r="B28" s="7" t="n">
        <v>99</v>
      </c>
      <c r="C28" s="3" t="inlineStr">
        <is>
          <t>년차</t>
        </is>
      </c>
      <c r="D28" s="41" t="inlineStr">
        <is>
          <t>해당 없음 — 가동부 없음</t>
        </is>
      </c>
      <c r="E28" s="42" t="n"/>
    </row>
    <row r="29" ht="16.5" customHeight="1" s="45">
      <c r="A29" s="3" t="inlineStr">
        <is>
          <t>액추에이터 교체비 (현재가)</t>
        </is>
      </c>
      <c r="B29" s="55" t="n">
        <v>0</v>
      </c>
      <c r="C29" s="3" t="inlineStr">
        <is>
          <t>원</t>
        </is>
      </c>
      <c r="D29" s="41" t="inlineStr">
        <is>
          <t>해당 없음</t>
        </is>
      </c>
      <c r="E29" s="42" t="n"/>
    </row>
    <row r="30" ht="16.5" customHeight="1" s="45">
      <c r="A30" s="3" t="inlineStr">
        <is>
          <t>설비용량 (참고)</t>
        </is>
      </c>
      <c r="B30" s="7" t="n">
        <v>40</v>
      </c>
      <c r="C30" s="5" t="inlineStr">
        <is>
          <t>kWp</t>
        </is>
      </c>
      <c r="D30" s="43" t="inlineStr">
        <is>
          <t>96패널 × 약 420W 가정 (LCOE·단가 산출용)</t>
        </is>
      </c>
      <c r="E30" s="42" t="n"/>
    </row>
    <row r="32" ht="15" customHeight="1" s="45">
      <c r="A32" s="47" t="inlineStr">
        <is>
          <t>④ 계절별 전기요금 및 최종 청구단가 (일반용전력(갑) I · 저압)</t>
        </is>
      </c>
    </row>
    <row r="33" ht="16.5" customHeight="1" s="45">
      <c r="A33" s="15" t="inlineStr">
        <is>
          <t>계절</t>
        </is>
      </c>
      <c r="B33" s="15" t="inlineStr">
        <is>
          <t>적용 월</t>
        </is>
      </c>
      <c r="C33" s="15" t="inlineStr">
        <is>
          <t>최종 청구단가 (원/kWh)</t>
        </is>
      </c>
      <c r="D33" s="15" t="inlineStr">
        <is>
          <t>월별 발전비중</t>
        </is>
      </c>
      <c r="E33" s="15" t="inlineStr">
        <is>
          <t>비고</t>
        </is>
      </c>
      <c r="F33" s="16" t="n"/>
    </row>
    <row r="34" ht="16.5" customHeight="1" s="45">
      <c r="A34" s="17" t="inlineStr">
        <is>
          <t>여름철</t>
        </is>
      </c>
      <c r="B34" s="18" t="inlineStr">
        <is>
          <t>6~8월</t>
        </is>
      </c>
      <c r="C34" s="56">
        <f>(132.4+$B$42+$B$43)*(1+$B$44+$B$45)</f>
        <v/>
      </c>
      <c r="D34" s="57" t="n">
        <v>0.1836</v>
      </c>
      <c r="E34" s="58" t="inlineStr">
        <is>
          <t>피크 일사량 기간, 발전량 최대</t>
        </is>
      </c>
      <c r="F34" s="59" t="n"/>
    </row>
    <row r="35" ht="16.5" customHeight="1" s="45">
      <c r="A35" s="17" t="inlineStr">
        <is>
          <t>봄·가을철</t>
        </is>
      </c>
      <c r="B35" s="18" t="inlineStr">
        <is>
          <t>3~5월, 9~10월</t>
        </is>
      </c>
      <c r="C35" s="58">
        <f>(91.9+$B$42+$B$43)*(1+$B$44+$B$45)</f>
        <v/>
      </c>
      <c r="D35" s="57" t="n">
        <v>0.4933</v>
      </c>
      <c r="E35" s="58" t="inlineStr">
        <is>
          <t>중간 일사량</t>
        </is>
      </c>
      <c r="F35" s="59" t="n"/>
    </row>
    <row r="36" ht="16.5" customHeight="1" s="45">
      <c r="A36" s="17" t="inlineStr">
        <is>
          <t>겨울철</t>
        </is>
      </c>
      <c r="B36" s="18" t="inlineStr">
        <is>
          <t>11~2월</t>
        </is>
      </c>
      <c r="C36" s="58">
        <f>(119+$B$42+$B$43)*(1+$B$44+$B$45)</f>
        <v/>
      </c>
      <c r="D36" s="57" t="n">
        <v>0.3232</v>
      </c>
      <c r="E36" s="58" t="inlineStr">
        <is>
          <t>일사량 최저</t>
        </is>
      </c>
      <c r="F36" s="59" t="n"/>
    </row>
    <row r="37" ht="16.5" customHeight="1" s="45">
      <c r="A37" s="23" t="inlineStr">
        <is>
          <t>합계/가중평균</t>
        </is>
      </c>
      <c r="C37" s="60">
        <f>SUMPRODUCT(C34:C36,D34:D36)</f>
        <v/>
      </c>
      <c r="D37" s="61">
        <f>SUM(D34:D36)</f>
        <v/>
      </c>
      <c r="E37" s="60" t="n"/>
      <c r="F37" s="62" t="n"/>
    </row>
    <row r="39" ht="16.5" customHeight="1" s="45">
      <c r="A39" s="27" t="inlineStr">
        <is>
          <t>참고: 기본요금</t>
        </is>
      </c>
      <c r="B39" s="28" t="n">
        <v>6160</v>
      </c>
      <c r="C39" s="29" t="inlineStr">
        <is>
          <t>원/kW</t>
        </is>
      </c>
      <c r="D39" s="30" t="inlineStr">
        <is>
          <t>저압 기본요금 (별도, 본 DCF에서는 절감액에 미반영)</t>
        </is>
      </c>
    </row>
    <row r="41" ht="15" customHeight="1" s="45">
      <c r="A41" s="47" t="inlineStr">
        <is>
          <t>⑤ 추가 요금 및 세금 가정</t>
        </is>
      </c>
    </row>
    <row r="42" ht="16.5" customHeight="1" s="45">
      <c r="A42" s="31" t="inlineStr">
        <is>
          <t>기후환경요금단가</t>
        </is>
      </c>
      <c r="B42" s="63" t="n">
        <v>9</v>
      </c>
      <c r="C42" s="3" t="inlineStr">
        <is>
          <t>원/kWh</t>
        </is>
      </c>
      <c r="D42" s="41" t="inlineStr">
        <is>
          <t>기후환경요금 부과단가 (2024년 기준 9.0원/kWh)</t>
        </is>
      </c>
      <c r="E42" s="42" t="n"/>
    </row>
    <row r="43" ht="16.5" customHeight="1" s="45">
      <c r="A43" s="31" t="inlineStr">
        <is>
          <t>연료비조정단가</t>
        </is>
      </c>
      <c r="B43" s="63" t="n">
        <v>5</v>
      </c>
      <c r="C43" s="3" t="inlineStr">
        <is>
          <t>원/kWh</t>
        </is>
      </c>
      <c r="D43" s="41" t="inlineStr">
        <is>
          <t>연료비조정요금 부과단가 (상한 ±5원/kWh 적용)</t>
        </is>
      </c>
      <c r="E43" s="42" t="n"/>
    </row>
    <row r="44" ht="14.25" customHeight="1" s="45">
      <c r="A44" s="31" t="inlineStr">
        <is>
          <t>부가가치세 요율</t>
        </is>
      </c>
      <c r="B44" s="51" t="n">
        <v>0.1</v>
      </c>
      <c r="C44" s="5" t="inlineStr">
        <is>
          <t>%</t>
        </is>
      </c>
      <c r="D44" s="41" t="inlineStr">
        <is>
          <t>전기요금의 10% 부과 (원미만 4사 5입)</t>
        </is>
      </c>
      <c r="E44" s="42" t="n"/>
    </row>
    <row r="45" ht="14.25" customHeight="1" s="45">
      <c r="A45" s="31" t="inlineStr">
        <is>
          <t>전력산업기반기금 요율</t>
        </is>
      </c>
      <c r="B45" s="51" t="n">
        <v>0.027</v>
      </c>
      <c r="C45" s="5" t="inlineStr">
        <is>
          <t>%</t>
        </is>
      </c>
      <c r="D45" s="41" t="inlineStr">
        <is>
          <t>전기요금의 2.7% 부과 (2025.7.1 요율 인하 반영, 10원미만 절사)</t>
        </is>
      </c>
      <c r="E45" s="42" t="n"/>
    </row>
  </sheetData>
  <mergeCells count="31">
    <mergeCell ref="D20:E20"/>
    <mergeCell ref="D10:E10"/>
    <mergeCell ref="D19:E19"/>
    <mergeCell ref="A1:E1"/>
    <mergeCell ref="D22:E22"/>
    <mergeCell ref="D45:E45"/>
    <mergeCell ref="D21:E21"/>
    <mergeCell ref="D6:E6"/>
    <mergeCell ref="D11:E11"/>
    <mergeCell ref="A25:E25"/>
    <mergeCell ref="D27:E27"/>
    <mergeCell ref="A41:E41"/>
    <mergeCell ref="D17:E17"/>
    <mergeCell ref="D16:E16"/>
    <mergeCell ref="D7:E7"/>
    <mergeCell ref="D43:E43"/>
    <mergeCell ref="D28:E28"/>
    <mergeCell ref="A32:E32"/>
    <mergeCell ref="A14:E14"/>
    <mergeCell ref="D18:E18"/>
    <mergeCell ref="D9:E9"/>
    <mergeCell ref="D12:E12"/>
    <mergeCell ref="D8:E8"/>
    <mergeCell ref="A4:E4"/>
    <mergeCell ref="D30:E30"/>
    <mergeCell ref="D42:E42"/>
    <mergeCell ref="D15:E15"/>
    <mergeCell ref="D29:E29"/>
    <mergeCell ref="D5:E5"/>
    <mergeCell ref="D26:E26"/>
    <mergeCell ref="D44:E4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:L1"/>
    </sheetView>
  </sheetViews>
  <sheetFormatPr baseColWidth="8" defaultColWidth="8.7109375" defaultRowHeight="15"/>
  <cols>
    <col width="6" customWidth="1" style="45" min="1" max="1"/>
    <col width="12" customWidth="1" style="45" min="2" max="4"/>
    <col width="14" customWidth="1" style="45" min="5" max="6"/>
    <col width="12" customWidth="1" style="45" min="7" max="8"/>
    <col width="14" customWidth="1" style="45" min="9" max="9"/>
    <col width="9" customWidth="1" style="45" min="10" max="10"/>
    <col width="14" customWidth="1" style="45" min="11" max="11"/>
    <col width="15" customWidth="1" style="45" min="12" max="12"/>
  </cols>
  <sheetData>
    <row r="1" ht="19.5" customHeight="1" s="45">
      <c r="A1" s="44" t="inlineStr">
        <is>
          <t>정적 BIPV (고정 90°) — 연도별 현금흐름 (명목)</t>
        </is>
      </c>
    </row>
    <row r="3" ht="32.25" customHeight="1" s="45">
      <c r="A3" s="2" t="inlineStr">
        <is>
          <t>연도</t>
        </is>
      </c>
      <c r="B3" s="2" t="inlineStr">
        <is>
          <t>발전량(kWh)</t>
        </is>
      </c>
      <c r="C3" s="2" t="inlineStr">
        <is>
          <t>구동소비(kWh)</t>
        </is>
      </c>
      <c r="D3" s="2" t="inlineStr">
        <is>
          <t>순발전(kWh)</t>
        </is>
      </c>
      <c r="E3" s="2" t="inlineStr">
        <is>
          <t>전기요금(원/kWh)</t>
        </is>
      </c>
      <c r="F3" s="2" t="inlineStr">
        <is>
          <t>전력절감액(원)</t>
        </is>
      </c>
      <c r="G3" s="33" t="inlineStr">
        <is>
          <t>O&amp;M(원)</t>
        </is>
      </c>
      <c r="H3" s="2" t="inlineStr">
        <is>
          <t>교체비(원)</t>
        </is>
      </c>
      <c r="I3" s="2" t="inlineStr">
        <is>
          <t>순현금흐름(원)</t>
        </is>
      </c>
      <c r="J3" s="2" t="inlineStr">
        <is>
          <t>할인계수</t>
        </is>
      </c>
      <c r="K3" s="2" t="inlineStr">
        <is>
          <t>할인현금흐름(원)</t>
        </is>
      </c>
      <c r="L3" s="2" t="inlineStr">
        <is>
          <t>누적할인(원)</t>
        </is>
      </c>
    </row>
    <row r="4" ht="15" customHeight="1" s="45">
      <c r="A4" s="34" t="n">
        <v>0</v>
      </c>
      <c r="B4" s="50" t="n"/>
      <c r="C4" s="50" t="n"/>
      <c r="D4" s="50" t="n"/>
      <c r="E4" s="50" t="n"/>
      <c r="F4" s="53" t="n"/>
      <c r="G4" s="53" t="n"/>
      <c r="H4" s="53" t="n"/>
      <c r="I4" s="64">
        <f>-가정_Case2!$B$23</f>
        <v/>
      </c>
      <c r="J4" s="65" t="n">
        <v>1</v>
      </c>
      <c r="K4" s="64">
        <f>I4</f>
        <v/>
      </c>
      <c r="L4" s="64">
        <f>K4</f>
        <v/>
      </c>
    </row>
    <row r="5" ht="15" customHeight="1" s="45">
      <c r="A5" s="34" t="n">
        <v>1</v>
      </c>
      <c r="B5" s="66">
        <f>가정_Case2!$B$5*(1-가정_Case2!$B$7)^(A5-1)</f>
        <v/>
      </c>
      <c r="C5" s="66">
        <f>가정_Case2!$B$6</f>
        <v/>
      </c>
      <c r="D5" s="66">
        <f>B5-C5</f>
        <v/>
      </c>
      <c r="E5" s="66">
        <f>가정_Case2!$B$9*(1+가정_Case2!$B$10)^(A5-1)</f>
        <v/>
      </c>
      <c r="F5" s="64">
        <f>D5*E5</f>
        <v/>
      </c>
      <c r="G5" s="64">
        <f>가정_Case2!$B$27*(1+가정_Case2!$B$11)^(A5-1)</f>
        <v/>
      </c>
      <c r="H5" s="64">
        <f>IF(MOD(A5,가정_Case2!$B$28)=0,가정_Case2!$B$29*(1+가정_Case2!$B$11)^A5,0)</f>
        <v/>
      </c>
      <c r="I5" s="64">
        <f>F5-G5-H5</f>
        <v/>
      </c>
      <c r="J5" s="65">
        <f>1/(1+가정_Case2!$B$12)^A5</f>
        <v/>
      </c>
      <c r="K5" s="64">
        <f>I5*J5</f>
        <v/>
      </c>
      <c r="L5" s="64">
        <f>L4+K5</f>
        <v/>
      </c>
    </row>
    <row r="6" ht="15" customHeight="1" s="45">
      <c r="A6" s="34" t="n">
        <v>2</v>
      </c>
      <c r="B6" s="66">
        <f>가정_Case2!$B$5*(1-가정_Case2!$B$7)^(A6-1)</f>
        <v/>
      </c>
      <c r="C6" s="66">
        <f>가정_Case2!$B$6</f>
        <v/>
      </c>
      <c r="D6" s="66">
        <f>B6-C6</f>
        <v/>
      </c>
      <c r="E6" s="66">
        <f>가정_Case2!$B$9*(1+가정_Case2!$B$10)^(A6-1)</f>
        <v/>
      </c>
      <c r="F6" s="64">
        <f>D6*E6</f>
        <v/>
      </c>
      <c r="G6" s="64">
        <f>가정_Case2!$B$27*(1+가정_Case2!$B$11)^(A6-1)</f>
        <v/>
      </c>
      <c r="H6" s="64">
        <f>IF(MOD(A6,가정_Case2!$B$28)=0,가정_Case2!$B$29*(1+가정_Case2!$B$11)^A6,0)</f>
        <v/>
      </c>
      <c r="I6" s="64">
        <f>F6-G6-H6</f>
        <v/>
      </c>
      <c r="J6" s="65">
        <f>1/(1+가정_Case2!$B$12)^A6</f>
        <v/>
      </c>
      <c r="K6" s="64">
        <f>I6*J6</f>
        <v/>
      </c>
      <c r="L6" s="64">
        <f>L5+K6</f>
        <v/>
      </c>
    </row>
    <row r="7" ht="15" customHeight="1" s="45">
      <c r="A7" s="34" t="n">
        <v>3</v>
      </c>
      <c r="B7" s="66">
        <f>가정_Case2!$B$5*(1-가정_Case2!$B$7)^(A7-1)</f>
        <v/>
      </c>
      <c r="C7" s="66">
        <f>가정_Case2!$B$6</f>
        <v/>
      </c>
      <c r="D7" s="66">
        <f>B7-C7</f>
        <v/>
      </c>
      <c r="E7" s="66">
        <f>가정_Case2!$B$9*(1+가정_Case2!$B$10)^(A7-1)</f>
        <v/>
      </c>
      <c r="F7" s="64">
        <f>D7*E7</f>
        <v/>
      </c>
      <c r="G7" s="64">
        <f>가정_Case2!$B$27*(1+가정_Case2!$B$11)^(A7-1)</f>
        <v/>
      </c>
      <c r="H7" s="64">
        <f>IF(MOD(A7,가정_Case2!$B$28)=0,가정_Case2!$B$29*(1+가정_Case2!$B$11)^A7,0)</f>
        <v/>
      </c>
      <c r="I7" s="64">
        <f>F7-G7-H7</f>
        <v/>
      </c>
      <c r="J7" s="65">
        <f>1/(1+가정_Case2!$B$12)^A7</f>
        <v/>
      </c>
      <c r="K7" s="64">
        <f>I7*J7</f>
        <v/>
      </c>
      <c r="L7" s="64">
        <f>L6+K7</f>
        <v/>
      </c>
    </row>
    <row r="8" ht="15" customHeight="1" s="45">
      <c r="A8" s="34" t="n">
        <v>4</v>
      </c>
      <c r="B8" s="66">
        <f>가정_Case2!$B$5*(1-가정_Case2!$B$7)^(A8-1)</f>
        <v/>
      </c>
      <c r="C8" s="66">
        <f>가정_Case2!$B$6</f>
        <v/>
      </c>
      <c r="D8" s="66">
        <f>B8-C8</f>
        <v/>
      </c>
      <c r="E8" s="66">
        <f>가정_Case2!$B$9*(1+가정_Case2!$B$10)^(A8-1)</f>
        <v/>
      </c>
      <c r="F8" s="64">
        <f>D8*E8</f>
        <v/>
      </c>
      <c r="G8" s="64">
        <f>가정_Case2!$B$27*(1+가정_Case2!$B$11)^(A8-1)</f>
        <v/>
      </c>
      <c r="H8" s="64">
        <f>IF(MOD(A8,가정_Case2!$B$28)=0,가정_Case2!$B$29*(1+가정_Case2!$B$11)^A8,0)</f>
        <v/>
      </c>
      <c r="I8" s="64">
        <f>F8-G8-H8</f>
        <v/>
      </c>
      <c r="J8" s="65">
        <f>1/(1+가정_Case2!$B$12)^A8</f>
        <v/>
      </c>
      <c r="K8" s="64">
        <f>I8*J8</f>
        <v/>
      </c>
      <c r="L8" s="64">
        <f>L7+K8</f>
        <v/>
      </c>
    </row>
    <row r="9" ht="15" customHeight="1" s="45">
      <c r="A9" s="34" t="n">
        <v>5</v>
      </c>
      <c r="B9" s="66">
        <f>가정_Case2!$B$5*(1-가정_Case2!$B$7)^(A9-1)</f>
        <v/>
      </c>
      <c r="C9" s="66">
        <f>가정_Case2!$B$6</f>
        <v/>
      </c>
      <c r="D9" s="66">
        <f>B9-C9</f>
        <v/>
      </c>
      <c r="E9" s="66">
        <f>가정_Case2!$B$9*(1+가정_Case2!$B$10)^(A9-1)</f>
        <v/>
      </c>
      <c r="F9" s="64">
        <f>D9*E9</f>
        <v/>
      </c>
      <c r="G9" s="64">
        <f>가정_Case2!$B$27*(1+가정_Case2!$B$11)^(A9-1)</f>
        <v/>
      </c>
      <c r="H9" s="64">
        <f>IF(MOD(A9,가정_Case2!$B$28)=0,가정_Case2!$B$29*(1+가정_Case2!$B$11)^A9,0)</f>
        <v/>
      </c>
      <c r="I9" s="64">
        <f>F9-G9-H9</f>
        <v/>
      </c>
      <c r="J9" s="65">
        <f>1/(1+가정_Case2!$B$12)^A9</f>
        <v/>
      </c>
      <c r="K9" s="64">
        <f>I9*J9</f>
        <v/>
      </c>
      <c r="L9" s="64">
        <f>L8+K9</f>
        <v/>
      </c>
    </row>
    <row r="10" ht="15" customHeight="1" s="45">
      <c r="A10" s="34" t="n">
        <v>6</v>
      </c>
      <c r="B10" s="66">
        <f>가정_Case2!$B$5*(1-가정_Case2!$B$7)^(A10-1)</f>
        <v/>
      </c>
      <c r="C10" s="66">
        <f>가정_Case2!$B$6</f>
        <v/>
      </c>
      <c r="D10" s="66">
        <f>B10-C10</f>
        <v/>
      </c>
      <c r="E10" s="66">
        <f>가정_Case2!$B$9*(1+가정_Case2!$B$10)^(A10-1)</f>
        <v/>
      </c>
      <c r="F10" s="64">
        <f>D10*E10</f>
        <v/>
      </c>
      <c r="G10" s="64">
        <f>가정_Case2!$B$27*(1+가정_Case2!$B$11)^(A10-1)</f>
        <v/>
      </c>
      <c r="H10" s="64">
        <f>IF(MOD(A10,가정_Case2!$B$28)=0,가정_Case2!$B$29*(1+가정_Case2!$B$11)^A10,0)</f>
        <v/>
      </c>
      <c r="I10" s="64">
        <f>F10-G10-H10</f>
        <v/>
      </c>
      <c r="J10" s="65">
        <f>1/(1+가정_Case2!$B$12)^A10</f>
        <v/>
      </c>
      <c r="K10" s="64">
        <f>I10*J10</f>
        <v/>
      </c>
      <c r="L10" s="64">
        <f>L9+K10</f>
        <v/>
      </c>
    </row>
    <row r="11" ht="15" customHeight="1" s="45">
      <c r="A11" s="34" t="n">
        <v>7</v>
      </c>
      <c r="B11" s="66">
        <f>가정_Case2!$B$5*(1-가정_Case2!$B$7)^(A11-1)</f>
        <v/>
      </c>
      <c r="C11" s="66">
        <f>가정_Case2!$B$6</f>
        <v/>
      </c>
      <c r="D11" s="66">
        <f>B11-C11</f>
        <v/>
      </c>
      <c r="E11" s="66">
        <f>가정_Case2!$B$9*(1+가정_Case2!$B$10)^(A11-1)</f>
        <v/>
      </c>
      <c r="F11" s="64">
        <f>D11*E11</f>
        <v/>
      </c>
      <c r="G11" s="64">
        <f>가정_Case2!$B$27*(1+가정_Case2!$B$11)^(A11-1)</f>
        <v/>
      </c>
      <c r="H11" s="64">
        <f>IF(MOD(A11,가정_Case2!$B$28)=0,가정_Case2!$B$29*(1+가정_Case2!$B$11)^A11,0)</f>
        <v/>
      </c>
      <c r="I11" s="64">
        <f>F11-G11-H11</f>
        <v/>
      </c>
      <c r="J11" s="65">
        <f>1/(1+가정_Case2!$B$12)^A11</f>
        <v/>
      </c>
      <c r="K11" s="64">
        <f>I11*J11</f>
        <v/>
      </c>
      <c r="L11" s="64">
        <f>L10+K11</f>
        <v/>
      </c>
    </row>
    <row r="12" ht="15" customHeight="1" s="45">
      <c r="A12" s="34" t="n">
        <v>8</v>
      </c>
      <c r="B12" s="66">
        <f>가정_Case2!$B$5*(1-가정_Case2!$B$7)^(A12-1)</f>
        <v/>
      </c>
      <c r="C12" s="66">
        <f>가정_Case2!$B$6</f>
        <v/>
      </c>
      <c r="D12" s="66">
        <f>B12-C12</f>
        <v/>
      </c>
      <c r="E12" s="66">
        <f>가정_Case2!$B$9*(1+가정_Case2!$B$10)^(A12-1)</f>
        <v/>
      </c>
      <c r="F12" s="64">
        <f>D12*E12</f>
        <v/>
      </c>
      <c r="G12" s="64">
        <f>가정_Case2!$B$27*(1+가정_Case2!$B$11)^(A12-1)</f>
        <v/>
      </c>
      <c r="H12" s="64">
        <f>IF(MOD(A12,가정_Case2!$B$28)=0,가정_Case2!$B$29*(1+가정_Case2!$B$11)^A12,0)</f>
        <v/>
      </c>
      <c r="I12" s="64">
        <f>F12-G12-H12</f>
        <v/>
      </c>
      <c r="J12" s="65">
        <f>1/(1+가정_Case2!$B$12)^A12</f>
        <v/>
      </c>
      <c r="K12" s="64">
        <f>I12*J12</f>
        <v/>
      </c>
      <c r="L12" s="64">
        <f>L11+K12</f>
        <v/>
      </c>
    </row>
    <row r="13" ht="15" customHeight="1" s="45">
      <c r="A13" s="34" t="n">
        <v>9</v>
      </c>
      <c r="B13" s="66">
        <f>가정_Case2!$B$5*(1-가정_Case2!$B$7)^(A13-1)</f>
        <v/>
      </c>
      <c r="C13" s="66">
        <f>가정_Case2!$B$6</f>
        <v/>
      </c>
      <c r="D13" s="66">
        <f>B13-C13</f>
        <v/>
      </c>
      <c r="E13" s="66">
        <f>가정_Case2!$B$9*(1+가정_Case2!$B$10)^(A13-1)</f>
        <v/>
      </c>
      <c r="F13" s="64">
        <f>D13*E13</f>
        <v/>
      </c>
      <c r="G13" s="64">
        <f>가정_Case2!$B$27*(1+가정_Case2!$B$11)^(A13-1)</f>
        <v/>
      </c>
      <c r="H13" s="64">
        <f>IF(MOD(A13,가정_Case2!$B$28)=0,가정_Case2!$B$29*(1+가정_Case2!$B$11)^A13,0)</f>
        <v/>
      </c>
      <c r="I13" s="64">
        <f>F13-G13-H13</f>
        <v/>
      </c>
      <c r="J13" s="65">
        <f>1/(1+가정_Case2!$B$12)^A13</f>
        <v/>
      </c>
      <c r="K13" s="64">
        <f>I13*J13</f>
        <v/>
      </c>
      <c r="L13" s="64">
        <f>L12+K13</f>
        <v/>
      </c>
    </row>
    <row r="14" ht="15" customHeight="1" s="45">
      <c r="A14" s="34" t="n">
        <v>10</v>
      </c>
      <c r="B14" s="66">
        <f>가정_Case2!$B$5*(1-가정_Case2!$B$7)^(A14-1)</f>
        <v/>
      </c>
      <c r="C14" s="66">
        <f>가정_Case2!$B$6</f>
        <v/>
      </c>
      <c r="D14" s="66">
        <f>B14-C14</f>
        <v/>
      </c>
      <c r="E14" s="66">
        <f>가정_Case2!$B$9*(1+가정_Case2!$B$10)^(A14-1)</f>
        <v/>
      </c>
      <c r="F14" s="64">
        <f>D14*E14</f>
        <v/>
      </c>
      <c r="G14" s="64">
        <f>가정_Case2!$B$27*(1+가정_Case2!$B$11)^(A14-1)</f>
        <v/>
      </c>
      <c r="H14" s="64">
        <f>IF(MOD(A14,가정_Case2!$B$28)=0,가정_Case2!$B$29*(1+가정_Case2!$B$11)^A14,0)</f>
        <v/>
      </c>
      <c r="I14" s="64">
        <f>F14-G14-H14</f>
        <v/>
      </c>
      <c r="J14" s="65">
        <f>1/(1+가정_Case2!$B$12)^A14</f>
        <v/>
      </c>
      <c r="K14" s="64">
        <f>I14*J14</f>
        <v/>
      </c>
      <c r="L14" s="64">
        <f>L13+K14</f>
        <v/>
      </c>
    </row>
    <row r="15" ht="15" customHeight="1" s="45">
      <c r="A15" s="34" t="n">
        <v>11</v>
      </c>
      <c r="B15" s="66">
        <f>가정_Case2!$B$5*(1-가정_Case2!$B$7)^(A15-1)</f>
        <v/>
      </c>
      <c r="C15" s="66">
        <f>가정_Case2!$B$6</f>
        <v/>
      </c>
      <c r="D15" s="66">
        <f>B15-C15</f>
        <v/>
      </c>
      <c r="E15" s="66">
        <f>가정_Case2!$B$9*(1+가정_Case2!$B$10)^(A15-1)</f>
        <v/>
      </c>
      <c r="F15" s="64">
        <f>D15*E15</f>
        <v/>
      </c>
      <c r="G15" s="64">
        <f>가정_Case2!$B$27*(1+가정_Case2!$B$11)^(A15-1)</f>
        <v/>
      </c>
      <c r="H15" s="64">
        <f>IF(MOD(A15,가정_Case2!$B$28)=0,가정_Case2!$B$29*(1+가정_Case2!$B$11)^A15,0)</f>
        <v/>
      </c>
      <c r="I15" s="64">
        <f>F15-G15-H15</f>
        <v/>
      </c>
      <c r="J15" s="65">
        <f>1/(1+가정_Case2!$B$12)^A15</f>
        <v/>
      </c>
      <c r="K15" s="64">
        <f>I15*J15</f>
        <v/>
      </c>
      <c r="L15" s="64">
        <f>L14+K15</f>
        <v/>
      </c>
    </row>
    <row r="16" ht="15" customHeight="1" s="45">
      <c r="A16" s="34" t="n">
        <v>12</v>
      </c>
      <c r="B16" s="66">
        <f>가정_Case2!$B$5*(1-가정_Case2!$B$7)^(A16-1)</f>
        <v/>
      </c>
      <c r="C16" s="66">
        <f>가정_Case2!$B$6</f>
        <v/>
      </c>
      <c r="D16" s="66">
        <f>B16-C16</f>
        <v/>
      </c>
      <c r="E16" s="66">
        <f>가정_Case2!$B$9*(1+가정_Case2!$B$10)^(A16-1)</f>
        <v/>
      </c>
      <c r="F16" s="64">
        <f>D16*E16</f>
        <v/>
      </c>
      <c r="G16" s="64">
        <f>가정_Case2!$B$27*(1+가정_Case2!$B$11)^(A16-1)</f>
        <v/>
      </c>
      <c r="H16" s="64">
        <f>IF(MOD(A16,가정_Case2!$B$28)=0,가정_Case2!$B$29*(1+가정_Case2!$B$11)^A16,0)</f>
        <v/>
      </c>
      <c r="I16" s="64">
        <f>F16-G16-H16</f>
        <v/>
      </c>
      <c r="J16" s="65">
        <f>1/(1+가정_Case2!$B$12)^A16</f>
        <v/>
      </c>
      <c r="K16" s="64">
        <f>I16*J16</f>
        <v/>
      </c>
      <c r="L16" s="64">
        <f>L15+K16</f>
        <v/>
      </c>
    </row>
    <row r="17" ht="15" customHeight="1" s="45">
      <c r="A17" s="34" t="n">
        <v>13</v>
      </c>
      <c r="B17" s="66">
        <f>가정_Case2!$B$5*(1-가정_Case2!$B$7)^(A17-1)</f>
        <v/>
      </c>
      <c r="C17" s="66">
        <f>가정_Case2!$B$6</f>
        <v/>
      </c>
      <c r="D17" s="66">
        <f>B17-C17</f>
        <v/>
      </c>
      <c r="E17" s="66">
        <f>가정_Case2!$B$9*(1+가정_Case2!$B$10)^(A17-1)</f>
        <v/>
      </c>
      <c r="F17" s="64">
        <f>D17*E17</f>
        <v/>
      </c>
      <c r="G17" s="64">
        <f>가정_Case2!$B$27*(1+가정_Case2!$B$11)^(A17-1)</f>
        <v/>
      </c>
      <c r="H17" s="64">
        <f>IF(MOD(A17,가정_Case2!$B$28)=0,가정_Case2!$B$29*(1+가정_Case2!$B$11)^A17,0)</f>
        <v/>
      </c>
      <c r="I17" s="64">
        <f>F17-G17-H17</f>
        <v/>
      </c>
      <c r="J17" s="65">
        <f>1/(1+가정_Case2!$B$12)^A17</f>
        <v/>
      </c>
      <c r="K17" s="64">
        <f>I17*J17</f>
        <v/>
      </c>
      <c r="L17" s="64">
        <f>L16+K17</f>
        <v/>
      </c>
    </row>
    <row r="18" ht="15" customHeight="1" s="45">
      <c r="A18" s="34" t="n">
        <v>14</v>
      </c>
      <c r="B18" s="66">
        <f>가정_Case2!$B$5*(1-가정_Case2!$B$7)^(A18-1)</f>
        <v/>
      </c>
      <c r="C18" s="66">
        <f>가정_Case2!$B$6</f>
        <v/>
      </c>
      <c r="D18" s="66">
        <f>B18-C18</f>
        <v/>
      </c>
      <c r="E18" s="66">
        <f>가정_Case2!$B$9*(1+가정_Case2!$B$10)^(A18-1)</f>
        <v/>
      </c>
      <c r="F18" s="64">
        <f>D18*E18</f>
        <v/>
      </c>
      <c r="G18" s="64">
        <f>가정_Case2!$B$27*(1+가정_Case2!$B$11)^(A18-1)</f>
        <v/>
      </c>
      <c r="H18" s="64">
        <f>IF(MOD(A18,가정_Case2!$B$28)=0,가정_Case2!$B$29*(1+가정_Case2!$B$11)^A18,0)</f>
        <v/>
      </c>
      <c r="I18" s="64">
        <f>F18-G18-H18</f>
        <v/>
      </c>
      <c r="J18" s="65">
        <f>1/(1+가정_Case2!$B$12)^A18</f>
        <v/>
      </c>
      <c r="K18" s="64">
        <f>I18*J18</f>
        <v/>
      </c>
      <c r="L18" s="64">
        <f>L17+K18</f>
        <v/>
      </c>
    </row>
    <row r="19" ht="15" customHeight="1" s="45">
      <c r="A19" s="34" t="n">
        <v>15</v>
      </c>
      <c r="B19" s="66">
        <f>가정_Case2!$B$5*(1-가정_Case2!$B$7)^(A19-1)</f>
        <v/>
      </c>
      <c r="C19" s="66">
        <f>가정_Case2!$B$6</f>
        <v/>
      </c>
      <c r="D19" s="66">
        <f>B19-C19</f>
        <v/>
      </c>
      <c r="E19" s="66">
        <f>가정_Case2!$B$9*(1+가정_Case2!$B$10)^(A19-1)</f>
        <v/>
      </c>
      <c r="F19" s="64">
        <f>D19*E19</f>
        <v/>
      </c>
      <c r="G19" s="64">
        <f>가정_Case2!$B$27*(1+가정_Case2!$B$11)^(A19-1)</f>
        <v/>
      </c>
      <c r="H19" s="64">
        <f>IF(MOD(A19,가정_Case2!$B$28)=0,가정_Case2!$B$29*(1+가정_Case2!$B$11)^A19,0)</f>
        <v/>
      </c>
      <c r="I19" s="64">
        <f>F19-G19-H19</f>
        <v/>
      </c>
      <c r="J19" s="65">
        <f>1/(1+가정_Case2!$B$12)^A19</f>
        <v/>
      </c>
      <c r="K19" s="64">
        <f>I19*J19</f>
        <v/>
      </c>
      <c r="L19" s="64">
        <f>L18+K19</f>
        <v/>
      </c>
    </row>
    <row r="20" ht="15" customHeight="1" s="45">
      <c r="A20" s="34" t="n">
        <v>16</v>
      </c>
      <c r="B20" s="66">
        <f>가정_Case2!$B$5*(1-가정_Case2!$B$7)^(A20-1)</f>
        <v/>
      </c>
      <c r="C20" s="66">
        <f>가정_Case2!$B$6</f>
        <v/>
      </c>
      <c r="D20" s="66">
        <f>B20-C20</f>
        <v/>
      </c>
      <c r="E20" s="66">
        <f>가정_Case2!$B$9*(1+가정_Case2!$B$10)^(A20-1)</f>
        <v/>
      </c>
      <c r="F20" s="64">
        <f>D20*E20</f>
        <v/>
      </c>
      <c r="G20" s="64">
        <f>가정_Case2!$B$27*(1+가정_Case2!$B$11)^(A20-1)</f>
        <v/>
      </c>
      <c r="H20" s="64">
        <f>IF(MOD(A20,가정_Case2!$B$28)=0,가정_Case2!$B$29*(1+가정_Case2!$B$11)^A20,0)</f>
        <v/>
      </c>
      <c r="I20" s="64">
        <f>F20-G20-H20</f>
        <v/>
      </c>
      <c r="J20" s="65">
        <f>1/(1+가정_Case2!$B$12)^A20</f>
        <v/>
      </c>
      <c r="K20" s="64">
        <f>I20*J20</f>
        <v/>
      </c>
      <c r="L20" s="64">
        <f>L19+K20</f>
        <v/>
      </c>
    </row>
    <row r="21" ht="15" customHeight="1" s="45">
      <c r="A21" s="34" t="n">
        <v>17</v>
      </c>
      <c r="B21" s="66">
        <f>가정_Case2!$B$5*(1-가정_Case2!$B$7)^(A21-1)</f>
        <v/>
      </c>
      <c r="C21" s="66">
        <f>가정_Case2!$B$6</f>
        <v/>
      </c>
      <c r="D21" s="66">
        <f>B21-C21</f>
        <v/>
      </c>
      <c r="E21" s="66">
        <f>가정_Case2!$B$9*(1+가정_Case2!$B$10)^(A21-1)</f>
        <v/>
      </c>
      <c r="F21" s="64">
        <f>D21*E21</f>
        <v/>
      </c>
      <c r="G21" s="64">
        <f>가정_Case2!$B$27*(1+가정_Case2!$B$11)^(A21-1)</f>
        <v/>
      </c>
      <c r="H21" s="64">
        <f>IF(MOD(A21,가정_Case2!$B$28)=0,가정_Case2!$B$29*(1+가정_Case2!$B$11)^A21,0)</f>
        <v/>
      </c>
      <c r="I21" s="64">
        <f>F21-G21-H21</f>
        <v/>
      </c>
      <c r="J21" s="65">
        <f>1/(1+가정_Case2!$B$12)^A21</f>
        <v/>
      </c>
      <c r="K21" s="64">
        <f>I21*J21</f>
        <v/>
      </c>
      <c r="L21" s="64">
        <f>L20+K21</f>
        <v/>
      </c>
    </row>
    <row r="22" ht="15" customHeight="1" s="45">
      <c r="A22" s="34" t="n">
        <v>18</v>
      </c>
      <c r="B22" s="66">
        <f>가정_Case2!$B$5*(1-가정_Case2!$B$7)^(A22-1)</f>
        <v/>
      </c>
      <c r="C22" s="66">
        <f>가정_Case2!$B$6</f>
        <v/>
      </c>
      <c r="D22" s="66">
        <f>B22-C22</f>
        <v/>
      </c>
      <c r="E22" s="66">
        <f>가정_Case2!$B$9*(1+가정_Case2!$B$10)^(A22-1)</f>
        <v/>
      </c>
      <c r="F22" s="64">
        <f>D22*E22</f>
        <v/>
      </c>
      <c r="G22" s="64">
        <f>가정_Case2!$B$27*(1+가정_Case2!$B$11)^(A22-1)</f>
        <v/>
      </c>
      <c r="H22" s="64">
        <f>IF(MOD(A22,가정_Case2!$B$28)=0,가정_Case2!$B$29*(1+가정_Case2!$B$11)^A22,0)</f>
        <v/>
      </c>
      <c r="I22" s="64">
        <f>F22-G22-H22</f>
        <v/>
      </c>
      <c r="J22" s="65">
        <f>1/(1+가정_Case2!$B$12)^A22</f>
        <v/>
      </c>
      <c r="K22" s="64">
        <f>I22*J22</f>
        <v/>
      </c>
      <c r="L22" s="64">
        <f>L21+K22</f>
        <v/>
      </c>
    </row>
    <row r="23" ht="15" customHeight="1" s="45">
      <c r="A23" s="34" t="n">
        <v>19</v>
      </c>
      <c r="B23" s="66">
        <f>가정_Case2!$B$5*(1-가정_Case2!$B$7)^(A23-1)</f>
        <v/>
      </c>
      <c r="C23" s="66">
        <f>가정_Case2!$B$6</f>
        <v/>
      </c>
      <c r="D23" s="66">
        <f>B23-C23</f>
        <v/>
      </c>
      <c r="E23" s="66">
        <f>가정_Case2!$B$9*(1+가정_Case2!$B$10)^(A23-1)</f>
        <v/>
      </c>
      <c r="F23" s="64">
        <f>D23*E23</f>
        <v/>
      </c>
      <c r="G23" s="64">
        <f>가정_Case2!$B$27*(1+가정_Case2!$B$11)^(A23-1)</f>
        <v/>
      </c>
      <c r="H23" s="64">
        <f>IF(MOD(A23,가정_Case2!$B$28)=0,가정_Case2!$B$29*(1+가정_Case2!$B$11)^A23,0)</f>
        <v/>
      </c>
      <c r="I23" s="64">
        <f>F23-G23-H23</f>
        <v/>
      </c>
      <c r="J23" s="65">
        <f>1/(1+가정_Case2!$B$12)^A23</f>
        <v/>
      </c>
      <c r="K23" s="64">
        <f>I23*J23</f>
        <v/>
      </c>
      <c r="L23" s="64">
        <f>L22+K23</f>
        <v/>
      </c>
    </row>
    <row r="24" ht="15" customHeight="1" s="45">
      <c r="A24" s="34" t="n">
        <v>20</v>
      </c>
      <c r="B24" s="66">
        <f>가정_Case2!$B$5*(1-가정_Case2!$B$7)^(A24-1)</f>
        <v/>
      </c>
      <c r="C24" s="66">
        <f>가정_Case2!$B$6</f>
        <v/>
      </c>
      <c r="D24" s="66">
        <f>B24-C24</f>
        <v/>
      </c>
      <c r="E24" s="66">
        <f>가정_Case2!$B$9*(1+가정_Case2!$B$10)^(A24-1)</f>
        <v/>
      </c>
      <c r="F24" s="64">
        <f>D24*E24</f>
        <v/>
      </c>
      <c r="G24" s="64">
        <f>가정_Case2!$B$27*(1+가정_Case2!$B$11)^(A24-1)</f>
        <v/>
      </c>
      <c r="H24" s="64">
        <f>IF(MOD(A24,가정_Case2!$B$28)=0,가정_Case2!$B$29*(1+가정_Case2!$B$11)^A24,0)</f>
        <v/>
      </c>
      <c r="I24" s="64">
        <f>F24-G24-H24</f>
        <v/>
      </c>
      <c r="J24" s="65">
        <f>1/(1+가정_Case2!$B$12)^A24</f>
        <v/>
      </c>
      <c r="K24" s="64">
        <f>I24*J24</f>
        <v/>
      </c>
      <c r="L24" s="64">
        <f>L23+K24</f>
        <v/>
      </c>
    </row>
    <row r="25" ht="15" customHeight="1" s="45">
      <c r="A25" s="34" t="n">
        <v>21</v>
      </c>
      <c r="B25" s="66">
        <f>가정_Case2!$B$5*(1-가정_Case2!$B$7)^(A25-1)</f>
        <v/>
      </c>
      <c r="C25" s="66">
        <f>가정_Case2!$B$6</f>
        <v/>
      </c>
      <c r="D25" s="66">
        <f>B25-C25</f>
        <v/>
      </c>
      <c r="E25" s="66">
        <f>가정_Case2!$B$9*(1+가정_Case2!$B$10)^(A25-1)</f>
        <v/>
      </c>
      <c r="F25" s="64">
        <f>D25*E25</f>
        <v/>
      </c>
      <c r="G25" s="64">
        <f>가정_Case2!$B$27*(1+가정_Case2!$B$11)^(A25-1)</f>
        <v/>
      </c>
      <c r="H25" s="64">
        <f>IF(MOD(A25,가정_Case2!$B$28)=0,가정_Case2!$B$29*(1+가정_Case2!$B$11)^A25,0)</f>
        <v/>
      </c>
      <c r="I25" s="64">
        <f>F25-G25-H25</f>
        <v/>
      </c>
      <c r="J25" s="65">
        <f>1/(1+가정_Case2!$B$12)^A25</f>
        <v/>
      </c>
      <c r="K25" s="64">
        <f>I25*J25</f>
        <v/>
      </c>
      <c r="L25" s="64">
        <f>L24+K25</f>
        <v/>
      </c>
    </row>
    <row r="26" ht="15" customHeight="1" s="45">
      <c r="A26" s="34" t="n">
        <v>22</v>
      </c>
      <c r="B26" s="66">
        <f>가정_Case2!$B$5*(1-가정_Case2!$B$7)^(A26-1)</f>
        <v/>
      </c>
      <c r="C26" s="66">
        <f>가정_Case2!$B$6</f>
        <v/>
      </c>
      <c r="D26" s="66">
        <f>B26-C26</f>
        <v/>
      </c>
      <c r="E26" s="66">
        <f>가정_Case2!$B$9*(1+가정_Case2!$B$10)^(A26-1)</f>
        <v/>
      </c>
      <c r="F26" s="64">
        <f>D26*E26</f>
        <v/>
      </c>
      <c r="G26" s="64">
        <f>가정_Case2!$B$27*(1+가정_Case2!$B$11)^(A26-1)</f>
        <v/>
      </c>
      <c r="H26" s="64">
        <f>IF(MOD(A26,가정_Case2!$B$28)=0,가정_Case2!$B$29*(1+가정_Case2!$B$11)^A26,0)</f>
        <v/>
      </c>
      <c r="I26" s="64">
        <f>F26-G26-H26</f>
        <v/>
      </c>
      <c r="J26" s="65">
        <f>1/(1+가정_Case2!$B$12)^A26</f>
        <v/>
      </c>
      <c r="K26" s="64">
        <f>I26*J26</f>
        <v/>
      </c>
      <c r="L26" s="64">
        <f>L25+K26</f>
        <v/>
      </c>
    </row>
    <row r="27" ht="15" customHeight="1" s="45">
      <c r="A27" s="34" t="n">
        <v>23</v>
      </c>
      <c r="B27" s="66">
        <f>가정_Case2!$B$5*(1-가정_Case2!$B$7)^(A27-1)</f>
        <v/>
      </c>
      <c r="C27" s="66">
        <f>가정_Case2!$B$6</f>
        <v/>
      </c>
      <c r="D27" s="66">
        <f>B27-C27</f>
        <v/>
      </c>
      <c r="E27" s="66">
        <f>가정_Case2!$B$9*(1+가정_Case2!$B$10)^(A27-1)</f>
        <v/>
      </c>
      <c r="F27" s="64">
        <f>D27*E27</f>
        <v/>
      </c>
      <c r="G27" s="64">
        <f>가정_Case2!$B$27*(1+가정_Case2!$B$11)^(A27-1)</f>
        <v/>
      </c>
      <c r="H27" s="64">
        <f>IF(MOD(A27,가정_Case2!$B$28)=0,가정_Case2!$B$29*(1+가정_Case2!$B$11)^A27,0)</f>
        <v/>
      </c>
      <c r="I27" s="64">
        <f>F27-G27-H27</f>
        <v/>
      </c>
      <c r="J27" s="65">
        <f>1/(1+가정_Case2!$B$12)^A27</f>
        <v/>
      </c>
      <c r="K27" s="64">
        <f>I27*J27</f>
        <v/>
      </c>
      <c r="L27" s="64">
        <f>L26+K27</f>
        <v/>
      </c>
    </row>
    <row r="28" ht="15" customHeight="1" s="45">
      <c r="A28" s="34" t="n">
        <v>24</v>
      </c>
      <c r="B28" s="66">
        <f>가정_Case2!$B$5*(1-가정_Case2!$B$7)^(A28-1)</f>
        <v/>
      </c>
      <c r="C28" s="66">
        <f>가정_Case2!$B$6</f>
        <v/>
      </c>
      <c r="D28" s="66">
        <f>B28-C28</f>
        <v/>
      </c>
      <c r="E28" s="66">
        <f>가정_Case2!$B$9*(1+가정_Case2!$B$10)^(A28-1)</f>
        <v/>
      </c>
      <c r="F28" s="64">
        <f>D28*E28</f>
        <v/>
      </c>
      <c r="G28" s="64">
        <f>가정_Case2!$B$27*(1+가정_Case2!$B$11)^(A28-1)</f>
        <v/>
      </c>
      <c r="H28" s="64">
        <f>IF(MOD(A28,가정_Case2!$B$28)=0,가정_Case2!$B$29*(1+가정_Case2!$B$11)^A28,0)</f>
        <v/>
      </c>
      <c r="I28" s="64">
        <f>F28-G28-H28</f>
        <v/>
      </c>
      <c r="J28" s="65">
        <f>1/(1+가정_Case2!$B$12)^A28</f>
        <v/>
      </c>
      <c r="K28" s="64">
        <f>I28*J28</f>
        <v/>
      </c>
      <c r="L28" s="64">
        <f>L27+K28</f>
        <v/>
      </c>
    </row>
    <row r="29" ht="15" customHeight="1" s="45">
      <c r="A29" s="34" t="n">
        <v>25</v>
      </c>
      <c r="B29" s="66">
        <f>가정_Case2!$B$5*(1-가정_Case2!$B$7)^(A29-1)</f>
        <v/>
      </c>
      <c r="C29" s="66">
        <f>가정_Case2!$B$6</f>
        <v/>
      </c>
      <c r="D29" s="66">
        <f>B29-C29</f>
        <v/>
      </c>
      <c r="E29" s="66">
        <f>가정_Case2!$B$9*(1+가정_Case2!$B$10)^(A29-1)</f>
        <v/>
      </c>
      <c r="F29" s="64">
        <f>D29*E29</f>
        <v/>
      </c>
      <c r="G29" s="64">
        <f>가정_Case2!$B$27*(1+가정_Case2!$B$11)^(A29-1)</f>
        <v/>
      </c>
      <c r="H29" s="64">
        <f>IF(MOD(A29,가정_Case2!$B$28)=0,가정_Case2!$B$29*(1+가정_Case2!$B$11)^A29,0)</f>
        <v/>
      </c>
      <c r="I29" s="64">
        <f>F29-G29-H29</f>
        <v/>
      </c>
      <c r="J29" s="65">
        <f>1/(1+가정_Case2!$B$12)^A29</f>
        <v/>
      </c>
      <c r="K29" s="64">
        <f>I29*J29</f>
        <v/>
      </c>
      <c r="L29" s="64">
        <f>L28+K29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:C1"/>
    </sheetView>
  </sheetViews>
  <sheetFormatPr baseColWidth="8" defaultColWidth="8.7109375" defaultRowHeight="15"/>
  <cols>
    <col width="24" customWidth="1" style="45" min="1" max="1"/>
    <col width="16" customWidth="1" style="45" min="2" max="3"/>
  </cols>
  <sheetData>
    <row r="1" ht="19.5" customHeight="1" s="45">
      <c r="A1" s="44" t="inlineStr">
        <is>
          <t>정적 BIPV (고정 90°) — 결과 요약</t>
        </is>
      </c>
    </row>
    <row r="3" ht="16.5" customHeight="1" s="45">
      <c r="A3" s="2" t="inlineStr">
        <is>
          <t>지표</t>
        </is>
      </c>
      <c r="B3" s="2" t="inlineStr">
        <is>
          <t>값</t>
        </is>
      </c>
      <c r="C3" s="2" t="inlineStr">
        <is>
          <t>단위</t>
        </is>
      </c>
    </row>
    <row r="4" ht="16.5" customHeight="1" s="45">
      <c r="A4" s="3" t="inlineStr">
        <is>
          <t>총 CAPEX</t>
        </is>
      </c>
      <c r="B4" s="55">
        <f>가정_Case2!B23</f>
        <v/>
      </c>
      <c r="C4" s="3" t="inlineStr">
        <is>
          <t>원</t>
        </is>
      </c>
    </row>
    <row r="5" ht="16.5" customHeight="1" s="45">
      <c r="A5" s="5" t="inlineStr">
        <is>
          <t>NPV (순현재가치)</t>
        </is>
      </c>
      <c r="B5" s="55">
        <f>SUM(현금흐름_Case2!K4:K29)</f>
        <v/>
      </c>
      <c r="C5" s="3" t="inlineStr">
        <is>
          <t>원</t>
        </is>
      </c>
    </row>
    <row r="6" ht="16.5" customHeight="1" s="45">
      <c r="A6" s="5" t="inlineStr">
        <is>
          <t>IRR (내부수익률)</t>
        </is>
      </c>
      <c r="B6" s="67">
        <f>IRR(현금흐름_Case2!I4:I29)</f>
        <v/>
      </c>
      <c r="C6" s="5" t="inlineStr">
        <is>
          <t>%</t>
        </is>
      </c>
    </row>
    <row r="7" ht="16.5" customHeight="1" s="45">
      <c r="A7" s="5" t="inlineStr">
        <is>
          <t>LCOE (균등화발전원가)</t>
        </is>
      </c>
      <c r="B7" s="68">
        <f>(가정_Case2!B23+SUMPRODUCT(현금흐름_Case2!G5:G29+현금흐름_Case2!H5:H29,현금흐름_Case2!J5:J29))/SUMPRODUCT(현금흐름_Case2!D5:D29,현금흐름_Case2!J5:J29)</f>
        <v/>
      </c>
      <c r="C7" s="3" t="inlineStr">
        <is>
          <t>원/kWh</t>
        </is>
      </c>
    </row>
    <row r="8" ht="15" customHeight="1" s="45">
      <c r="A8" s="3" t="inlineStr">
        <is>
          <t>할인 회수기간</t>
        </is>
      </c>
      <c r="B8" s="69">
        <f>IFERROR((COUNTIF(현금흐름_Case2!L4:L29,"&lt;0")-1)+(-INDEX(현금흐름_Case2!L4:L29,COUNTIF(현금흐름_Case2!L4:L29,"&lt;0")))/INDEX(현금흐름_Case2!K4:K29,COUNTIF(현금흐름_Case2!L4:L29,"&lt;0")+1),"25년내 미회수")</f>
        <v/>
      </c>
      <c r="C8" s="3" t="inlineStr">
        <is>
          <t>년</t>
        </is>
      </c>
    </row>
    <row r="10" ht="16.5" customHeight="1" s="45">
      <c r="A10" s="49" t="inlineStr">
        <is>
          <t>판정</t>
        </is>
      </c>
      <c r="B10" s="49">
        <f>IF(B5&gt;0,"투자가치 있음 (NPV&gt;0)","투자 부적합 (NPV&lt;0)")</f>
        <v/>
      </c>
      <c r="C10" s="42" t="n"/>
    </row>
  </sheetData>
  <mergeCells count="2">
    <mergeCell ref="A1:C1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zoomScaleNormal="100" workbookViewId="0">
      <selection activeCell="F19" sqref="F19"/>
    </sheetView>
  </sheetViews>
  <sheetFormatPr baseColWidth="8" defaultColWidth="8.7109375" defaultRowHeight="15"/>
  <cols>
    <col width="30" customWidth="1" style="45" min="1" max="1"/>
    <col width="15" customWidth="1" style="45" min="2" max="2"/>
    <col width="22" customWidth="1" style="45" min="3" max="3"/>
    <col width="18" customWidth="1" style="45" min="4" max="4"/>
    <col width="50" customWidth="1" style="45" min="5" max="5"/>
  </cols>
  <sheetData>
    <row r="1" ht="19.5" customHeight="1" s="45">
      <c r="A1" s="44" t="inlineStr">
        <is>
          <t>키네틱 BIPV 경제성 분석 — 가정 및 근거</t>
        </is>
      </c>
    </row>
    <row r="3" ht="16.5" customHeight="1" s="45">
      <c r="A3" s="2" t="inlineStr">
        <is>
          <t>항목</t>
        </is>
      </c>
      <c r="B3" s="2" t="inlineStr">
        <is>
          <t>값</t>
        </is>
      </c>
      <c r="C3" s="2" t="inlineStr">
        <is>
          <t>단위</t>
        </is>
      </c>
      <c r="D3" s="2" t="inlineStr">
        <is>
          <t>근거 / 출처</t>
        </is>
      </c>
      <c r="E3" s="2" t="n"/>
    </row>
    <row r="4" ht="15" customHeight="1" s="45">
      <c r="A4" s="46" t="inlineStr">
        <is>
          <t>— 발전 및 경제 가정 —</t>
        </is>
      </c>
    </row>
    <row r="5" ht="16.5" customHeight="1" s="45">
      <c r="A5" s="3" t="inlineStr">
        <is>
          <t>연간 발전량 (1년차, gross)</t>
        </is>
      </c>
      <c r="B5" s="50" t="n">
        <v>55520.3</v>
      </c>
      <c r="C5" s="5" t="inlineStr">
        <is>
          <t>kWh/년</t>
        </is>
      </c>
      <c r="D5" s="41" t="inlineStr">
        <is>
          <t>사용자 제공 실측값</t>
        </is>
      </c>
      <c r="E5" s="42" t="n"/>
    </row>
    <row r="6" ht="16.5" customHeight="1" s="45">
      <c r="A6" s="3" t="inlineStr">
        <is>
          <t>키네틱 구동 소비전력</t>
        </is>
      </c>
      <c r="B6" s="50" t="n">
        <v>72.3</v>
      </c>
      <c r="C6" s="5" t="inlineStr">
        <is>
          <t>kWh/년</t>
        </is>
      </c>
      <c r="D6" s="41" t="inlineStr">
        <is>
          <t>사용자 제공 실측값 (액추에이터 구동, 순절감서 차감)</t>
        </is>
      </c>
      <c r="E6" s="42" t="n"/>
    </row>
    <row r="7" ht="16.5" customHeight="1" s="45">
      <c r="A7" s="3" t="inlineStr">
        <is>
          <t>패널 열화율</t>
        </is>
      </c>
      <c r="B7" s="51" t="n">
        <v>0.005</v>
      </c>
      <c r="C7" s="5" t="inlineStr">
        <is>
          <t>%/년</t>
        </is>
      </c>
      <c r="D7" s="43" t="inlineStr">
        <is>
          <t>NREL: 결정질 모듈 중앙값 0.5%/년 (25년차 약 88% 잔존)</t>
        </is>
      </c>
      <c r="E7" s="42" t="n"/>
    </row>
    <row r="8" ht="15" customHeight="1" s="45">
      <c r="A8" s="3" t="inlineStr">
        <is>
          <t>사업 기간</t>
        </is>
      </c>
      <c r="B8" s="7" t="n">
        <v>25</v>
      </c>
      <c r="C8" s="3" t="inlineStr">
        <is>
          <t>년</t>
        </is>
      </c>
      <c r="D8" s="43" t="inlineStr">
        <is>
          <t>PV 모듈 표준 수명·보증기간 통상 25년</t>
        </is>
      </c>
      <c r="E8" s="42" t="n"/>
    </row>
    <row r="9" ht="16.5" customHeight="1" s="45">
      <c r="A9" s="3" t="inlineStr">
        <is>
          <t>적용 전기요금 (1년차 가중평균 청구단가)</t>
        </is>
      </c>
      <c r="B9" s="52">
        <f>C37</f>
        <v/>
      </c>
      <c r="C9" s="3" t="inlineStr">
        <is>
          <t>원/kWh</t>
        </is>
      </c>
      <c r="D9" s="41" t="inlineStr">
        <is>
          <t>기본요금 제외, 전력량요금 가중평균에 기후환경요금(9원/kWh) 및 연료비조정요금(5원/kWh)을 더한 후 VAT(10%)와 전력기금(2.7%)을 합산한 최종 청구단가</t>
        </is>
      </c>
      <c r="E9" s="42" t="n"/>
    </row>
    <row r="10" ht="16.5" customHeight="1" s="45">
      <c r="A10" s="3" t="inlineStr">
        <is>
          <t>전기요금 상승률</t>
        </is>
      </c>
      <c r="B10" s="51" t="n">
        <v>0.05</v>
      </c>
      <c r="C10" s="5" t="inlineStr">
        <is>
          <t>%/년</t>
        </is>
      </c>
      <c r="D10" s="43" t="inlineStr">
        <is>
          <t>2021~24년 실적 약 11~15%/년(적자보전 catch-up)의 장기 완화치, 일반물가 상회 가정</t>
        </is>
      </c>
      <c r="E10" s="42" t="n"/>
    </row>
    <row r="11" ht="16.5" customHeight="1" s="45">
      <c r="A11" s="3" t="inlineStr">
        <is>
          <t>물가상승률</t>
        </is>
      </c>
      <c r="B11" s="51" t="n">
        <v>0.02</v>
      </c>
      <c r="C11" s="5" t="inlineStr">
        <is>
          <t>%/년</t>
        </is>
      </c>
      <c r="D11" s="41" t="inlineStr">
        <is>
          <t>한은 물가목표 2.0%·2026 전망 2.1%(최대 2.3%)·최근 2%대 중반, 보수적 2.5% 적용</t>
        </is>
      </c>
      <c r="E11" s="42" t="n"/>
    </row>
    <row r="12" ht="16.5" customHeight="1" s="45">
      <c r="A12" s="3" t="inlineStr">
        <is>
          <t>명목 할인율</t>
        </is>
      </c>
      <c r="B12" s="51" t="n">
        <v>0.055</v>
      </c>
      <c r="C12" s="5" t="inlineStr">
        <is>
          <t>%/년</t>
        </is>
      </c>
      <c r="D12" s="41" t="inlineStr">
        <is>
          <t>민간 hurdle rate. 참고: KDI 예타 사회적 할인율 4.5%(실질)≈명목 약 7%</t>
        </is>
      </c>
      <c r="E12" s="42" t="n"/>
    </row>
    <row r="14" ht="16.5" customHeight="1" s="45">
      <c r="A14" s="46" t="inlineStr">
        <is>
          <t>— 초기투자비 CAPEX —</t>
        </is>
      </c>
    </row>
    <row r="15" ht="15" customHeight="1" s="45">
      <c r="A15" s="3" t="inlineStr">
        <is>
          <t>태양광 모듈</t>
        </is>
      </c>
      <c r="B15" s="53">
        <f>300000*96</f>
        <v/>
      </c>
      <c r="C15" s="3" t="inlineStr">
        <is>
          <t>원</t>
        </is>
      </c>
      <c r="D15" s="41" t="inlineStr">
        <is>
          <t>사용자 제공: 97,000원 × 96개</t>
        </is>
      </c>
      <c r="E15" s="42" t="n"/>
    </row>
    <row r="16" ht="16.5" customHeight="1" s="45">
      <c r="A16" s="3" t="inlineStr">
        <is>
          <t>액추에이터 (추종 구동)</t>
        </is>
      </c>
      <c r="B16" s="53">
        <f>200000*18</f>
        <v/>
      </c>
      <c r="C16" s="3" t="inlineStr">
        <is>
          <t>원</t>
        </is>
      </c>
      <c r="D16" s="41" t="inlineStr">
        <is>
          <t>사용자 제공: 200,000원 × 18개</t>
        </is>
      </c>
      <c r="E16" s="42" t="n"/>
    </row>
    <row r="17" ht="16.5" customHeight="1" s="45">
      <c r="A17" s="3" t="inlineStr">
        <is>
          <t>구조·프레임</t>
        </is>
      </c>
      <c r="B17" s="52">
        <f>7000000</f>
        <v/>
      </c>
      <c r="C17" s="3" t="inlineStr">
        <is>
          <t>원</t>
        </is>
      </c>
      <c r="D17" s="41" t="inlineStr">
        <is>
          <t>엔지니어링 추정: 키네틱 가동 프레임 (실견적 대체 권장)</t>
        </is>
      </c>
      <c r="E17" s="42" t="n"/>
    </row>
    <row r="18" ht="16.5" customHeight="1" s="45">
      <c r="A18" s="3" t="inlineStr">
        <is>
          <t>인버터·전력변환</t>
        </is>
      </c>
      <c r="B18" s="52">
        <f>5000000</f>
        <v/>
      </c>
      <c r="C18" s="3" t="inlineStr">
        <is>
          <t>원</t>
        </is>
      </c>
      <c r="D18" s="48" t="inlineStr">
        <is>
          <t>엔지니어링 추정: 약 40kWp 기준 (실견적 대체 권장)</t>
        </is>
      </c>
      <c r="E18" s="42" t="n"/>
    </row>
    <row r="19" ht="15" customHeight="1" s="45">
      <c r="A19" s="3" t="inlineStr">
        <is>
          <t>추종 제어시스템</t>
        </is>
      </c>
      <c r="B19" s="52">
        <f>3500000</f>
        <v/>
      </c>
      <c r="C19" s="3" t="inlineStr">
        <is>
          <t>원</t>
        </is>
      </c>
      <c r="D19" s="41" t="inlineStr">
        <is>
          <t>엔지니어링 추정: 센서·컨트롤러·모터드라이버</t>
        </is>
      </c>
      <c r="E19" s="42" t="n"/>
    </row>
    <row r="20" ht="16.5" customHeight="1" s="45">
      <c r="A20" s="3" t="inlineStr">
        <is>
          <t>전기 BOS (배선·보호·계측)</t>
        </is>
      </c>
      <c r="B20" s="52">
        <f>3000000</f>
        <v/>
      </c>
      <c r="C20" s="3" t="inlineStr">
        <is>
          <t>원</t>
        </is>
      </c>
      <c r="D20" s="41" t="inlineStr">
        <is>
          <t>엔지니어링 추정</t>
        </is>
      </c>
      <c r="E20" s="42" t="n"/>
    </row>
    <row r="21" ht="16.5" customHeight="1" s="45">
      <c r="A21" s="3" t="inlineStr">
        <is>
          <t>설치·시운전</t>
        </is>
      </c>
      <c r="B21" s="52">
        <f>7000000</f>
        <v/>
      </c>
      <c r="C21" s="3" t="inlineStr">
        <is>
          <t>원</t>
        </is>
      </c>
      <c r="D21" s="41" t="inlineStr">
        <is>
          <t>엔지니어링 추정: 키네틱 시공 난이도 반영</t>
        </is>
      </c>
      <c r="E21" s="42" t="n"/>
    </row>
    <row r="22" ht="16.5" customHeight="1" s="45">
      <c r="A22" s="3" t="inlineStr">
        <is>
          <t>설계·인허가</t>
        </is>
      </c>
      <c r="B22" s="52">
        <f>2500000</f>
        <v/>
      </c>
      <c r="C22" s="3" t="inlineStr">
        <is>
          <t>원</t>
        </is>
      </c>
      <c r="D22" s="41" t="inlineStr">
        <is>
          <t>엔지니어링 추정</t>
        </is>
      </c>
      <c r="E22" s="42" t="n"/>
    </row>
    <row r="23" ht="16.5" customHeight="1" s="45">
      <c r="A23" s="10" t="inlineStr">
        <is>
          <t>총 CAPEX</t>
        </is>
      </c>
      <c r="B23" s="54">
        <f>SUM(B15:B22)</f>
        <v/>
      </c>
      <c r="C23" s="12" t="inlineStr">
        <is>
          <t>원</t>
        </is>
      </c>
      <c r="D23" s="13" t="n"/>
      <c r="E23" s="13" t="n"/>
    </row>
    <row r="25" ht="16.5" customHeight="1" s="45">
      <c r="A25" s="46" t="inlineStr">
        <is>
          <t>— 운영비·교체비 —</t>
        </is>
      </c>
    </row>
    <row r="26" ht="16.5" customHeight="1" s="45">
      <c r="A26" s="5" t="inlineStr">
        <is>
          <t>O&amp;M 비율 (CAPEX 대비)</t>
        </is>
      </c>
      <c r="B26" s="51" t="n">
        <v>0.02</v>
      </c>
      <c r="C26" s="5" t="inlineStr">
        <is>
          <t>%/년</t>
        </is>
      </c>
      <c r="D26" s="43" t="inlineStr">
        <is>
          <t>NREL ATB 기본 PV O&amp;M 약 1.1~1.2% + 키네틱 가동부 정비 가산</t>
        </is>
      </c>
      <c r="E26" s="42" t="n"/>
    </row>
    <row r="27" ht="16.5" customHeight="1" s="45">
      <c r="A27" s="5" t="inlineStr">
        <is>
          <t>O&amp;M 1년차 금액</t>
        </is>
      </c>
      <c r="B27" s="55">
        <f>B23*B26</f>
        <v/>
      </c>
      <c r="C27" s="3" t="inlineStr">
        <is>
          <t>원/년</t>
        </is>
      </c>
      <c r="D27" s="41" t="inlineStr">
        <is>
          <t>총CAPEX x O&amp;M비율</t>
        </is>
      </c>
      <c r="E27" s="42" t="n"/>
    </row>
    <row r="28" ht="15" customHeight="1" s="45">
      <c r="A28" s="3" t="inlineStr">
        <is>
          <t>액추에이터 교체연도</t>
        </is>
      </c>
      <c r="B28" s="7" t="n">
        <v>12</v>
      </c>
      <c r="C28" s="3" t="inlineStr">
        <is>
          <t>년차</t>
        </is>
      </c>
      <c r="D28" s="41" t="inlineStr">
        <is>
          <t>가동부 기계 수명 통상 10~15년 (키네틱 고유 비용). 인버터 교체는 학부 단순화로 제외</t>
        </is>
      </c>
      <c r="E28" s="42" t="n"/>
    </row>
    <row r="29" ht="16.5" customHeight="1" s="45">
      <c r="A29" s="3" t="inlineStr">
        <is>
          <t>액추에이터 교체비 (현재가)</t>
        </is>
      </c>
      <c r="B29" s="55">
        <f>B16</f>
        <v/>
      </c>
      <c r="C29" s="3" t="inlineStr">
        <is>
          <t>원</t>
        </is>
      </c>
      <c r="D29" s="41" t="inlineStr">
        <is>
          <t>액추에이터 CAPEX, 교체시점 물가반영</t>
        </is>
      </c>
      <c r="E29" s="42" t="n"/>
    </row>
    <row r="30" ht="16.5" customHeight="1" s="45">
      <c r="A30" s="3" t="inlineStr">
        <is>
          <t>설비용량 (참고)</t>
        </is>
      </c>
      <c r="B30" s="7" t="n">
        <v>40</v>
      </c>
      <c r="C30" s="5" t="inlineStr">
        <is>
          <t>kWp</t>
        </is>
      </c>
      <c r="D30" s="43" t="inlineStr">
        <is>
          <t>96패널 × 약 420W 가정 (LCOE·단가 산출용)</t>
        </is>
      </c>
      <c r="E30" s="42" t="n"/>
    </row>
    <row r="32" ht="15" customHeight="1" s="45">
      <c r="A32" s="47" t="inlineStr">
        <is>
          <t>④ 계절별 전기요금 및 최종 청구단가 (일반용전력(갑) I · 저압)</t>
        </is>
      </c>
    </row>
    <row r="33" ht="16.5" customHeight="1" s="45">
      <c r="A33" s="15" t="inlineStr">
        <is>
          <t>계절</t>
        </is>
      </c>
      <c r="B33" s="15" t="inlineStr">
        <is>
          <t>적용 월</t>
        </is>
      </c>
      <c r="C33" s="15" t="inlineStr">
        <is>
          <t>최종 청구단가 (원/kWh)</t>
        </is>
      </c>
      <c r="D33" s="15" t="inlineStr">
        <is>
          <t>월별 발전비중</t>
        </is>
      </c>
      <c r="E33" s="15" t="inlineStr">
        <is>
          <t>비고</t>
        </is>
      </c>
      <c r="F33" s="16" t="n"/>
    </row>
    <row r="34" ht="16.5" customHeight="1" s="45">
      <c r="A34" s="17" t="inlineStr">
        <is>
          <t>여름철</t>
        </is>
      </c>
      <c r="B34" s="18" t="inlineStr">
        <is>
          <t>6~8월</t>
        </is>
      </c>
      <c r="C34" s="56">
        <f>(132.4+$B$42+$B$43)*(1+$B$44+$B$45)</f>
        <v/>
      </c>
      <c r="D34" s="57" t="n">
        <v>0.2224</v>
      </c>
      <c r="E34" s="58" t="inlineStr">
        <is>
          <t>피크 일사량 기간, 발전량 최대</t>
        </is>
      </c>
      <c r="F34" s="59" t="n"/>
    </row>
    <row r="35" ht="16.5" customHeight="1" s="45">
      <c r="A35" s="17" t="inlineStr">
        <is>
          <t>봄·가을철</t>
        </is>
      </c>
      <c r="B35" s="18" t="inlineStr">
        <is>
          <t>3~5월, 9~10월</t>
        </is>
      </c>
      <c r="C35" s="58">
        <f>(91.9+$B$42+$B$43)*(1+$B$44+$B$45)</f>
        <v/>
      </c>
      <c r="D35" s="57" t="n">
        <v>0.481</v>
      </c>
      <c r="E35" s="58" t="inlineStr">
        <is>
          <t>중간 일사량</t>
        </is>
      </c>
      <c r="F35" s="59" t="n"/>
    </row>
    <row r="36" ht="16.5" customHeight="1" s="45">
      <c r="A36" s="17" t="inlineStr">
        <is>
          <t>겨울철</t>
        </is>
      </c>
      <c r="B36" s="18" t="inlineStr">
        <is>
          <t>11~2월</t>
        </is>
      </c>
      <c r="C36" s="58">
        <f>(119+$B$42+$B$43)*(1+$B$44+$B$45)</f>
        <v/>
      </c>
      <c r="D36" s="57" t="n">
        <v>0.2966</v>
      </c>
      <c r="E36" s="58" t="inlineStr">
        <is>
          <t>일사량 최저</t>
        </is>
      </c>
      <c r="F36" s="59" t="n"/>
    </row>
    <row r="37" ht="16.5" customHeight="1" s="45">
      <c r="A37" s="23" t="inlineStr">
        <is>
          <t>합계/가중평균</t>
        </is>
      </c>
      <c r="C37" s="60">
        <f>SUMPRODUCT(C34:C36,D34:D36)</f>
        <v/>
      </c>
      <c r="D37" s="61">
        <f>SUM(D34:D36)</f>
        <v/>
      </c>
      <c r="E37" s="60" t="n"/>
      <c r="F37" s="62" t="n"/>
    </row>
    <row r="39" ht="16.5" customHeight="1" s="45">
      <c r="A39" s="27" t="inlineStr">
        <is>
          <t>참고: 기본요금</t>
        </is>
      </c>
      <c r="B39" s="28" t="n">
        <v>6160</v>
      </c>
      <c r="C39" s="29" t="inlineStr">
        <is>
          <t>원/kW</t>
        </is>
      </c>
      <c r="D39" s="30" t="inlineStr">
        <is>
          <t>저압 기본요금 (별도, 본 DCF에서는 절감액에 미반영)</t>
        </is>
      </c>
    </row>
    <row r="41" ht="15" customHeight="1" s="45">
      <c r="A41" s="47" t="inlineStr">
        <is>
          <t>⑤ 추가 요금 및 세금 가정</t>
        </is>
      </c>
    </row>
    <row r="42" ht="16.5" customHeight="1" s="45">
      <c r="A42" s="31" t="inlineStr">
        <is>
          <t>기후환경요금단가</t>
        </is>
      </c>
      <c r="B42" s="63" t="n">
        <v>9</v>
      </c>
      <c r="C42" s="3" t="inlineStr">
        <is>
          <t>원/kWh</t>
        </is>
      </c>
      <c r="D42" s="41" t="inlineStr">
        <is>
          <t>기후환경요금 부과단가 (2024년 기준 9.0원/kWh)</t>
        </is>
      </c>
      <c r="E42" s="42" t="n"/>
    </row>
    <row r="43" ht="16.5" customHeight="1" s="45">
      <c r="A43" s="31" t="inlineStr">
        <is>
          <t>연료비조정단가</t>
        </is>
      </c>
      <c r="B43" s="63" t="n">
        <v>5</v>
      </c>
      <c r="C43" s="3" t="inlineStr">
        <is>
          <t>원/kWh</t>
        </is>
      </c>
      <c r="D43" s="41" t="inlineStr">
        <is>
          <t>연료비조정요금 부과단가 (상한 ±5원/kWh 적용)</t>
        </is>
      </c>
      <c r="E43" s="42" t="n"/>
    </row>
    <row r="44" ht="14.25" customHeight="1" s="45">
      <c r="A44" s="31" t="inlineStr">
        <is>
          <t>부가가치세 요율</t>
        </is>
      </c>
      <c r="B44" s="51" t="n">
        <v>0.1</v>
      </c>
      <c r="C44" s="5" t="inlineStr">
        <is>
          <t>%</t>
        </is>
      </c>
      <c r="D44" s="41" t="inlineStr">
        <is>
          <t>전기요금의 10% 부과 (원미만 4사 5입)</t>
        </is>
      </c>
      <c r="E44" s="42" t="n"/>
    </row>
    <row r="45" ht="14.25" customHeight="1" s="45">
      <c r="A45" s="31" t="inlineStr">
        <is>
          <t>전력산업기반기금 요율</t>
        </is>
      </c>
      <c r="B45" s="51" t="n">
        <v>0.027</v>
      </c>
      <c r="C45" s="5" t="inlineStr">
        <is>
          <t>%</t>
        </is>
      </c>
      <c r="D45" s="41" t="inlineStr">
        <is>
          <t>전기요금의 2.7% 부과 (2025.7.1 요율 인하 반영, 10원미만 절사)</t>
        </is>
      </c>
      <c r="E45" s="42" t="n"/>
    </row>
  </sheetData>
  <mergeCells count="31">
    <mergeCell ref="D20:E20"/>
    <mergeCell ref="D10:E10"/>
    <mergeCell ref="D19:E19"/>
    <mergeCell ref="A1:E1"/>
    <mergeCell ref="D22:E22"/>
    <mergeCell ref="D45:E45"/>
    <mergeCell ref="D21:E21"/>
    <mergeCell ref="D6:E6"/>
    <mergeCell ref="D11:E11"/>
    <mergeCell ref="A25:E25"/>
    <mergeCell ref="D27:E27"/>
    <mergeCell ref="A41:E41"/>
    <mergeCell ref="D17:E17"/>
    <mergeCell ref="D16:E16"/>
    <mergeCell ref="D7:E7"/>
    <mergeCell ref="D43:E43"/>
    <mergeCell ref="D28:E28"/>
    <mergeCell ref="A32:E32"/>
    <mergeCell ref="D18:E18"/>
    <mergeCell ref="A14:E14"/>
    <mergeCell ref="D9:E9"/>
    <mergeCell ref="D12:E12"/>
    <mergeCell ref="D8:E8"/>
    <mergeCell ref="A4:E4"/>
    <mergeCell ref="D30:E30"/>
    <mergeCell ref="D42:E42"/>
    <mergeCell ref="D15:E15"/>
    <mergeCell ref="D29:E29"/>
    <mergeCell ref="D5:E5"/>
    <mergeCell ref="D26:E26"/>
    <mergeCell ref="D44:E44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zoomScaleNormal="100" workbookViewId="0">
      <selection activeCell="A1" sqref="A1:L1"/>
    </sheetView>
  </sheetViews>
  <sheetFormatPr baseColWidth="8" defaultColWidth="8.7109375" defaultRowHeight="15"/>
  <cols>
    <col width="6" customWidth="1" style="45" min="1" max="1"/>
    <col width="12" customWidth="1" style="45" min="2" max="4"/>
    <col width="14" customWidth="1" style="45" min="5" max="6"/>
    <col width="12" customWidth="1" style="45" min="7" max="8"/>
    <col width="14" customWidth="1" style="45" min="9" max="9"/>
    <col width="9" customWidth="1" style="45" min="10" max="10"/>
    <col width="14" customWidth="1" style="45" min="11" max="11"/>
    <col width="15" customWidth="1" style="45" min="12" max="12"/>
  </cols>
  <sheetData>
    <row r="1" ht="19.5" customHeight="1" s="45">
      <c r="A1" s="44" t="inlineStr">
        <is>
          <t>키네틱 BIPV — 연도별 현금흐름 (명목, 구동전력 차감)</t>
        </is>
      </c>
    </row>
    <row r="3" ht="32.25" customHeight="1" s="45">
      <c r="A3" s="2" t="inlineStr">
        <is>
          <t>연도</t>
        </is>
      </c>
      <c r="B3" s="2" t="inlineStr">
        <is>
          <t>발전량(kWh)</t>
        </is>
      </c>
      <c r="C3" s="2" t="inlineStr">
        <is>
          <t>구동소비(kWh)</t>
        </is>
      </c>
      <c r="D3" s="2" t="inlineStr">
        <is>
          <t>순발전(kWh)</t>
        </is>
      </c>
      <c r="E3" s="2" t="inlineStr">
        <is>
          <t>전기요금(원/kWh)</t>
        </is>
      </c>
      <c r="F3" s="2" t="inlineStr">
        <is>
          <t>전력절감액(원)</t>
        </is>
      </c>
      <c r="G3" s="33" t="inlineStr">
        <is>
          <t>O&amp;M(원)</t>
        </is>
      </c>
      <c r="H3" s="2" t="inlineStr">
        <is>
          <t>교체비(원)</t>
        </is>
      </c>
      <c r="I3" s="2" t="inlineStr">
        <is>
          <t>순현금흐름(원)</t>
        </is>
      </c>
      <c r="J3" s="2" t="inlineStr">
        <is>
          <t>할인계수</t>
        </is>
      </c>
      <c r="K3" s="2" t="inlineStr">
        <is>
          <t>할인현금흐름(원)</t>
        </is>
      </c>
      <c r="L3" s="2" t="inlineStr">
        <is>
          <t>누적할인(원)</t>
        </is>
      </c>
    </row>
    <row r="4" ht="15" customHeight="1" s="45">
      <c r="A4" s="34" t="n">
        <v>0</v>
      </c>
      <c r="B4" s="50" t="n"/>
      <c r="C4" s="50" t="n"/>
      <c r="D4" s="50" t="n"/>
      <c r="E4" s="50" t="n"/>
      <c r="F4" s="53" t="n"/>
      <c r="G4" s="53" t="n"/>
      <c r="H4" s="53" t="n"/>
      <c r="I4" s="64">
        <f>-가정!$B$23</f>
        <v/>
      </c>
      <c r="J4" s="65" t="n">
        <v>1</v>
      </c>
      <c r="K4" s="64">
        <f>I4</f>
        <v/>
      </c>
      <c r="L4" s="64">
        <f>K4</f>
        <v/>
      </c>
    </row>
    <row r="5" ht="15" customHeight="1" s="45">
      <c r="A5" s="34" t="n">
        <v>1</v>
      </c>
      <c r="B5" s="66">
        <f>가정!$B$5*(1-가정!$B$7)^(A5-1)</f>
        <v/>
      </c>
      <c r="C5" s="66">
        <f>가정!$B$6</f>
        <v/>
      </c>
      <c r="D5" s="66">
        <f>B5-C5</f>
        <v/>
      </c>
      <c r="E5" s="66">
        <f>가정!$B$9*(1+가정!$B$10)^(A5-1)</f>
        <v/>
      </c>
      <c r="F5" s="64">
        <f>D5*E5</f>
        <v/>
      </c>
      <c r="G5" s="64">
        <f>가정!$B$27*(1+가정!$B$11)^(A5-1)</f>
        <v/>
      </c>
      <c r="H5" s="64">
        <f>IF(MOD(A5,가정!$B$28)=0,가정!$B$29*(1+가정!$B$11)^A5,0)</f>
        <v/>
      </c>
      <c r="I5" s="64">
        <f>F5-G5-H5</f>
        <v/>
      </c>
      <c r="J5" s="65">
        <f>1/(1+가정!$B$12)^A5</f>
        <v/>
      </c>
      <c r="K5" s="64">
        <f>I5*J5</f>
        <v/>
      </c>
      <c r="L5" s="64">
        <f>L4+K5</f>
        <v/>
      </c>
    </row>
    <row r="6" ht="15" customHeight="1" s="45">
      <c r="A6" s="34" t="n">
        <v>2</v>
      </c>
      <c r="B6" s="66">
        <f>가정!$B$5*(1-가정!$B$7)^(A6-1)</f>
        <v/>
      </c>
      <c r="C6" s="66">
        <f>가정!$B$6</f>
        <v/>
      </c>
      <c r="D6" s="66">
        <f>B6-C6</f>
        <v/>
      </c>
      <c r="E6" s="66">
        <f>가정!$B$9*(1+가정!$B$10)^(A6-1)</f>
        <v/>
      </c>
      <c r="F6" s="64">
        <f>D6*E6</f>
        <v/>
      </c>
      <c r="G6" s="64">
        <f>가정!$B$27*(1+가정!$B$11)^(A6-1)</f>
        <v/>
      </c>
      <c r="H6" s="64">
        <f>IF(MOD(A6,가정!$B$28)=0,가정!$B$29*(1+가정!$B$11)^A6,0)</f>
        <v/>
      </c>
      <c r="I6" s="64">
        <f>F6-G6-H6</f>
        <v/>
      </c>
      <c r="J6" s="65">
        <f>1/(1+가정!$B$12)^A6</f>
        <v/>
      </c>
      <c r="K6" s="64">
        <f>I6*J6</f>
        <v/>
      </c>
      <c r="L6" s="64">
        <f>L5+K6</f>
        <v/>
      </c>
    </row>
    <row r="7" ht="15" customHeight="1" s="45">
      <c r="A7" s="34" t="n">
        <v>3</v>
      </c>
      <c r="B7" s="66">
        <f>가정!$B$5*(1-가정!$B$7)^(A7-1)</f>
        <v/>
      </c>
      <c r="C7" s="66">
        <f>가정!$B$6</f>
        <v/>
      </c>
      <c r="D7" s="66">
        <f>B7-C7</f>
        <v/>
      </c>
      <c r="E7" s="66">
        <f>가정!$B$9*(1+가정!$B$10)^(A7-1)</f>
        <v/>
      </c>
      <c r="F7" s="64">
        <f>D7*E7</f>
        <v/>
      </c>
      <c r="G7" s="64">
        <f>가정!$B$27*(1+가정!$B$11)^(A7-1)</f>
        <v/>
      </c>
      <c r="H7" s="64">
        <f>IF(MOD(A7,가정!$B$28)=0,가정!$B$29*(1+가정!$B$11)^A7,0)</f>
        <v/>
      </c>
      <c r="I7" s="64">
        <f>F7-G7-H7</f>
        <v/>
      </c>
      <c r="J7" s="65">
        <f>1/(1+가정!$B$12)^A7</f>
        <v/>
      </c>
      <c r="K7" s="64">
        <f>I7*J7</f>
        <v/>
      </c>
      <c r="L7" s="64">
        <f>L6+K7</f>
        <v/>
      </c>
    </row>
    <row r="8" ht="15" customHeight="1" s="45">
      <c r="A8" s="34" t="n">
        <v>4</v>
      </c>
      <c r="B8" s="66">
        <f>가정!$B$5*(1-가정!$B$7)^(A8-1)</f>
        <v/>
      </c>
      <c r="C8" s="66">
        <f>가정!$B$6</f>
        <v/>
      </c>
      <c r="D8" s="66">
        <f>B8-C8</f>
        <v/>
      </c>
      <c r="E8" s="66">
        <f>가정!$B$9*(1+가정!$B$10)^(A8-1)</f>
        <v/>
      </c>
      <c r="F8" s="64">
        <f>D8*E8</f>
        <v/>
      </c>
      <c r="G8" s="64">
        <f>가정!$B$27*(1+가정!$B$11)^(A8-1)</f>
        <v/>
      </c>
      <c r="H8" s="64">
        <f>IF(MOD(A8,가정!$B$28)=0,가정!$B$29*(1+가정!$B$11)^A8,0)</f>
        <v/>
      </c>
      <c r="I8" s="64">
        <f>F8-G8-H8</f>
        <v/>
      </c>
      <c r="J8" s="65">
        <f>1/(1+가정!$B$12)^A8</f>
        <v/>
      </c>
      <c r="K8" s="64">
        <f>I8*J8</f>
        <v/>
      </c>
      <c r="L8" s="64">
        <f>L7+K8</f>
        <v/>
      </c>
    </row>
    <row r="9" ht="15" customHeight="1" s="45">
      <c r="A9" s="34" t="n">
        <v>5</v>
      </c>
      <c r="B9" s="66">
        <f>가정!$B$5*(1-가정!$B$7)^(A9-1)</f>
        <v/>
      </c>
      <c r="C9" s="66">
        <f>가정!$B$6</f>
        <v/>
      </c>
      <c r="D9" s="66">
        <f>B9-C9</f>
        <v/>
      </c>
      <c r="E9" s="66">
        <f>가정!$B$9*(1+가정!$B$10)^(A9-1)</f>
        <v/>
      </c>
      <c r="F9" s="64">
        <f>D9*E9</f>
        <v/>
      </c>
      <c r="G9" s="64">
        <f>가정!$B$27*(1+가정!$B$11)^(A9-1)</f>
        <v/>
      </c>
      <c r="H9" s="64">
        <f>IF(MOD(A9,가정!$B$28)=0,가정!$B$29*(1+가정!$B$11)^A9,0)</f>
        <v/>
      </c>
      <c r="I9" s="64">
        <f>F9-G9-H9</f>
        <v/>
      </c>
      <c r="J9" s="65">
        <f>1/(1+가정!$B$12)^A9</f>
        <v/>
      </c>
      <c r="K9" s="64">
        <f>I9*J9</f>
        <v/>
      </c>
      <c r="L9" s="64">
        <f>L8+K9</f>
        <v/>
      </c>
    </row>
    <row r="10" ht="15" customHeight="1" s="45">
      <c r="A10" s="34" t="n">
        <v>6</v>
      </c>
      <c r="B10" s="66">
        <f>가정!$B$5*(1-가정!$B$7)^(A10-1)</f>
        <v/>
      </c>
      <c r="C10" s="66">
        <f>가정!$B$6</f>
        <v/>
      </c>
      <c r="D10" s="66">
        <f>B10-C10</f>
        <v/>
      </c>
      <c r="E10" s="66">
        <f>가정!$B$9*(1+가정!$B$10)^(A10-1)</f>
        <v/>
      </c>
      <c r="F10" s="64">
        <f>D10*E10</f>
        <v/>
      </c>
      <c r="G10" s="64">
        <f>가정!$B$27*(1+가정!$B$11)^(A10-1)</f>
        <v/>
      </c>
      <c r="H10" s="64">
        <f>IF(MOD(A10,가정!$B$28)=0,가정!$B$29*(1+가정!$B$11)^A10,0)</f>
        <v/>
      </c>
      <c r="I10" s="64">
        <f>F10-G10-H10</f>
        <v/>
      </c>
      <c r="J10" s="65">
        <f>1/(1+가정!$B$12)^A10</f>
        <v/>
      </c>
      <c r="K10" s="64">
        <f>I10*J10</f>
        <v/>
      </c>
      <c r="L10" s="64">
        <f>L9+K10</f>
        <v/>
      </c>
    </row>
    <row r="11" ht="15" customHeight="1" s="45">
      <c r="A11" s="34" t="n">
        <v>7</v>
      </c>
      <c r="B11" s="66">
        <f>가정!$B$5*(1-가정!$B$7)^(A11-1)</f>
        <v/>
      </c>
      <c r="C11" s="66">
        <f>가정!$B$6</f>
        <v/>
      </c>
      <c r="D11" s="66">
        <f>B11-C11</f>
        <v/>
      </c>
      <c r="E11" s="66">
        <f>가정!$B$9*(1+가정!$B$10)^(A11-1)</f>
        <v/>
      </c>
      <c r="F11" s="64">
        <f>D11*E11</f>
        <v/>
      </c>
      <c r="G11" s="64">
        <f>가정!$B$27*(1+가정!$B$11)^(A11-1)</f>
        <v/>
      </c>
      <c r="H11" s="64">
        <f>IF(MOD(A11,가정!$B$28)=0,가정!$B$29*(1+가정!$B$11)^A11,0)</f>
        <v/>
      </c>
      <c r="I11" s="64">
        <f>F11-G11-H11</f>
        <v/>
      </c>
      <c r="J11" s="65">
        <f>1/(1+가정!$B$12)^A11</f>
        <v/>
      </c>
      <c r="K11" s="64">
        <f>I11*J11</f>
        <v/>
      </c>
      <c r="L11" s="64">
        <f>L10+K11</f>
        <v/>
      </c>
    </row>
    <row r="12" ht="15" customHeight="1" s="45">
      <c r="A12" s="34" t="n">
        <v>8</v>
      </c>
      <c r="B12" s="66">
        <f>가정!$B$5*(1-가정!$B$7)^(A12-1)</f>
        <v/>
      </c>
      <c r="C12" s="66">
        <f>가정!$B$6</f>
        <v/>
      </c>
      <c r="D12" s="66">
        <f>B12-C12</f>
        <v/>
      </c>
      <c r="E12" s="66">
        <f>가정!$B$9*(1+가정!$B$10)^(A12-1)</f>
        <v/>
      </c>
      <c r="F12" s="64">
        <f>D12*E12</f>
        <v/>
      </c>
      <c r="G12" s="64">
        <f>가정!$B$27*(1+가정!$B$11)^(A12-1)</f>
        <v/>
      </c>
      <c r="H12" s="64">
        <f>IF(MOD(A12,가정!$B$28)=0,가정!$B$29*(1+가정!$B$11)^A12,0)</f>
        <v/>
      </c>
      <c r="I12" s="64">
        <f>F12-G12-H12</f>
        <v/>
      </c>
      <c r="J12" s="65">
        <f>1/(1+가정!$B$12)^A12</f>
        <v/>
      </c>
      <c r="K12" s="64">
        <f>I12*J12</f>
        <v/>
      </c>
      <c r="L12" s="64">
        <f>L11+K12</f>
        <v/>
      </c>
    </row>
    <row r="13" ht="15" customHeight="1" s="45">
      <c r="A13" s="34" t="n">
        <v>9</v>
      </c>
      <c r="B13" s="66">
        <f>가정!$B$5*(1-가정!$B$7)^(A13-1)</f>
        <v/>
      </c>
      <c r="C13" s="66">
        <f>가정!$B$6</f>
        <v/>
      </c>
      <c r="D13" s="66">
        <f>B13-C13</f>
        <v/>
      </c>
      <c r="E13" s="66">
        <f>가정!$B$9*(1+가정!$B$10)^(A13-1)</f>
        <v/>
      </c>
      <c r="F13" s="64">
        <f>D13*E13</f>
        <v/>
      </c>
      <c r="G13" s="64">
        <f>가정!$B$27*(1+가정!$B$11)^(A13-1)</f>
        <v/>
      </c>
      <c r="H13" s="64">
        <f>IF(MOD(A13,가정!$B$28)=0,가정!$B$29*(1+가정!$B$11)^A13,0)</f>
        <v/>
      </c>
      <c r="I13" s="64">
        <f>F13-G13-H13</f>
        <v/>
      </c>
      <c r="J13" s="65">
        <f>1/(1+가정!$B$12)^A13</f>
        <v/>
      </c>
      <c r="K13" s="64">
        <f>I13*J13</f>
        <v/>
      </c>
      <c r="L13" s="64">
        <f>L12+K13</f>
        <v/>
      </c>
    </row>
    <row r="14" ht="15" customHeight="1" s="45">
      <c r="A14" s="34" t="n">
        <v>10</v>
      </c>
      <c r="B14" s="66">
        <f>가정!$B$5*(1-가정!$B$7)^(A14-1)</f>
        <v/>
      </c>
      <c r="C14" s="66">
        <f>가정!$B$6</f>
        <v/>
      </c>
      <c r="D14" s="66">
        <f>B14-C14</f>
        <v/>
      </c>
      <c r="E14" s="66">
        <f>가정!$B$9*(1+가정!$B$10)^(A14-1)</f>
        <v/>
      </c>
      <c r="F14" s="64">
        <f>D14*E14</f>
        <v/>
      </c>
      <c r="G14" s="64">
        <f>가정!$B$27*(1+가정!$B$11)^(A14-1)</f>
        <v/>
      </c>
      <c r="H14" s="64">
        <f>IF(MOD(A14,가정!$B$28)=0,가정!$B$29*(1+가정!$B$11)^A14,0)</f>
        <v/>
      </c>
      <c r="I14" s="64">
        <f>F14-G14-H14</f>
        <v/>
      </c>
      <c r="J14" s="65">
        <f>1/(1+가정!$B$12)^A14</f>
        <v/>
      </c>
      <c r="K14" s="64">
        <f>I14*J14</f>
        <v/>
      </c>
      <c r="L14" s="64">
        <f>L13+K14</f>
        <v/>
      </c>
    </row>
    <row r="15" ht="15" customHeight="1" s="45">
      <c r="A15" s="34" t="n">
        <v>11</v>
      </c>
      <c r="B15" s="66">
        <f>가정!$B$5*(1-가정!$B$7)^(A15-1)</f>
        <v/>
      </c>
      <c r="C15" s="66">
        <f>가정!$B$6</f>
        <v/>
      </c>
      <c r="D15" s="66">
        <f>B15-C15</f>
        <v/>
      </c>
      <c r="E15" s="66">
        <f>가정!$B$9*(1+가정!$B$10)^(A15-1)</f>
        <v/>
      </c>
      <c r="F15" s="64">
        <f>D15*E15</f>
        <v/>
      </c>
      <c r="G15" s="64">
        <f>가정!$B$27*(1+가정!$B$11)^(A15-1)</f>
        <v/>
      </c>
      <c r="H15" s="64">
        <f>IF(MOD(A15,가정!$B$28)=0,가정!$B$29*(1+가정!$B$11)^A15,0)</f>
        <v/>
      </c>
      <c r="I15" s="64">
        <f>F15-G15-H15</f>
        <v/>
      </c>
      <c r="J15" s="65">
        <f>1/(1+가정!$B$12)^A15</f>
        <v/>
      </c>
      <c r="K15" s="64">
        <f>I15*J15</f>
        <v/>
      </c>
      <c r="L15" s="64">
        <f>L14+K15</f>
        <v/>
      </c>
    </row>
    <row r="16" ht="15" customHeight="1" s="45">
      <c r="A16" s="34" t="n">
        <v>12</v>
      </c>
      <c r="B16" s="66">
        <f>가정!$B$5*(1-가정!$B$7)^(A16-1)</f>
        <v/>
      </c>
      <c r="C16" s="66">
        <f>가정!$B$6</f>
        <v/>
      </c>
      <c r="D16" s="66">
        <f>B16-C16</f>
        <v/>
      </c>
      <c r="E16" s="66">
        <f>가정!$B$9*(1+가정!$B$10)^(A16-1)</f>
        <v/>
      </c>
      <c r="F16" s="64">
        <f>D16*E16</f>
        <v/>
      </c>
      <c r="G16" s="64">
        <f>가정!$B$27*(1+가정!$B$11)^(A16-1)</f>
        <v/>
      </c>
      <c r="H16" s="64">
        <f>IF(MOD(A16,가정!$B$28)=0,가정!$B$29*(1+가정!$B$11)^A16,0)</f>
        <v/>
      </c>
      <c r="I16" s="64">
        <f>F16-G16-H16</f>
        <v/>
      </c>
      <c r="J16" s="65">
        <f>1/(1+가정!$B$12)^A16</f>
        <v/>
      </c>
      <c r="K16" s="64">
        <f>I16*J16</f>
        <v/>
      </c>
      <c r="L16" s="64">
        <f>L15+K16</f>
        <v/>
      </c>
    </row>
    <row r="17" ht="15" customHeight="1" s="45">
      <c r="A17" s="34" t="n">
        <v>13</v>
      </c>
      <c r="B17" s="66">
        <f>가정!$B$5*(1-가정!$B$7)^(A17-1)</f>
        <v/>
      </c>
      <c r="C17" s="66">
        <f>가정!$B$6</f>
        <v/>
      </c>
      <c r="D17" s="66">
        <f>B17-C17</f>
        <v/>
      </c>
      <c r="E17" s="66">
        <f>가정!$B$9*(1+가정!$B$10)^(A17-1)</f>
        <v/>
      </c>
      <c r="F17" s="64">
        <f>D17*E17</f>
        <v/>
      </c>
      <c r="G17" s="64">
        <f>가정!$B$27*(1+가정!$B$11)^(A17-1)</f>
        <v/>
      </c>
      <c r="H17" s="64">
        <f>IF(MOD(A17,가정!$B$28)=0,가정!$B$29*(1+가정!$B$11)^A17,0)</f>
        <v/>
      </c>
      <c r="I17" s="64">
        <f>F17-G17-H17</f>
        <v/>
      </c>
      <c r="J17" s="65">
        <f>1/(1+가정!$B$12)^A17</f>
        <v/>
      </c>
      <c r="K17" s="64">
        <f>I17*J17</f>
        <v/>
      </c>
      <c r="L17" s="64">
        <f>L16+K17</f>
        <v/>
      </c>
    </row>
    <row r="18" ht="15" customHeight="1" s="45">
      <c r="A18" s="34" t="n">
        <v>14</v>
      </c>
      <c r="B18" s="66">
        <f>가정!$B$5*(1-가정!$B$7)^(A18-1)</f>
        <v/>
      </c>
      <c r="C18" s="66">
        <f>가정!$B$6</f>
        <v/>
      </c>
      <c r="D18" s="66">
        <f>B18-C18</f>
        <v/>
      </c>
      <c r="E18" s="66">
        <f>가정!$B$9*(1+가정!$B$10)^(A18-1)</f>
        <v/>
      </c>
      <c r="F18" s="64">
        <f>D18*E18</f>
        <v/>
      </c>
      <c r="G18" s="64">
        <f>가정!$B$27*(1+가정!$B$11)^(A18-1)</f>
        <v/>
      </c>
      <c r="H18" s="64">
        <f>IF(MOD(A18,가정!$B$28)=0,가정!$B$29*(1+가정!$B$11)^A18,0)</f>
        <v/>
      </c>
      <c r="I18" s="64">
        <f>F18-G18-H18</f>
        <v/>
      </c>
      <c r="J18" s="65">
        <f>1/(1+가정!$B$12)^A18</f>
        <v/>
      </c>
      <c r="K18" s="64">
        <f>I18*J18</f>
        <v/>
      </c>
      <c r="L18" s="64">
        <f>L17+K18</f>
        <v/>
      </c>
    </row>
    <row r="19" ht="15" customHeight="1" s="45">
      <c r="A19" s="34" t="n">
        <v>15</v>
      </c>
      <c r="B19" s="66">
        <f>가정!$B$5*(1-가정!$B$7)^(A19-1)</f>
        <v/>
      </c>
      <c r="C19" s="66">
        <f>가정!$B$6</f>
        <v/>
      </c>
      <c r="D19" s="66">
        <f>B19-C19</f>
        <v/>
      </c>
      <c r="E19" s="66">
        <f>가정!$B$9*(1+가정!$B$10)^(A19-1)</f>
        <v/>
      </c>
      <c r="F19" s="64">
        <f>D19*E19</f>
        <v/>
      </c>
      <c r="G19" s="64">
        <f>가정!$B$27*(1+가정!$B$11)^(A19-1)</f>
        <v/>
      </c>
      <c r="H19" s="64">
        <f>IF(MOD(A19,가정!$B$28)=0,가정!$B$29*(1+가정!$B$11)^A19,0)</f>
        <v/>
      </c>
      <c r="I19" s="64">
        <f>F19-G19-H19</f>
        <v/>
      </c>
      <c r="J19" s="65">
        <f>1/(1+가정!$B$12)^A19</f>
        <v/>
      </c>
      <c r="K19" s="64">
        <f>I19*J19</f>
        <v/>
      </c>
      <c r="L19" s="64">
        <f>L18+K19</f>
        <v/>
      </c>
    </row>
    <row r="20" ht="15" customHeight="1" s="45">
      <c r="A20" s="34" t="n">
        <v>16</v>
      </c>
      <c r="B20" s="66">
        <f>가정!$B$5*(1-가정!$B$7)^(A20-1)</f>
        <v/>
      </c>
      <c r="C20" s="66">
        <f>가정!$B$6</f>
        <v/>
      </c>
      <c r="D20" s="66">
        <f>B20-C20</f>
        <v/>
      </c>
      <c r="E20" s="66">
        <f>가정!$B$9*(1+가정!$B$10)^(A20-1)</f>
        <v/>
      </c>
      <c r="F20" s="64">
        <f>D20*E20</f>
        <v/>
      </c>
      <c r="G20" s="64">
        <f>가정!$B$27*(1+가정!$B$11)^(A20-1)</f>
        <v/>
      </c>
      <c r="H20" s="64">
        <f>IF(MOD(A20,가정!$B$28)=0,가정!$B$29*(1+가정!$B$11)^A20,0)</f>
        <v/>
      </c>
      <c r="I20" s="64">
        <f>F20-G20-H20</f>
        <v/>
      </c>
      <c r="J20" s="65">
        <f>1/(1+가정!$B$12)^A20</f>
        <v/>
      </c>
      <c r="K20" s="64">
        <f>I20*J20</f>
        <v/>
      </c>
      <c r="L20" s="64">
        <f>L19+K20</f>
        <v/>
      </c>
    </row>
    <row r="21" ht="15" customHeight="1" s="45">
      <c r="A21" s="34" t="n">
        <v>17</v>
      </c>
      <c r="B21" s="66">
        <f>가정!$B$5*(1-가정!$B$7)^(A21-1)</f>
        <v/>
      </c>
      <c r="C21" s="66">
        <f>가정!$B$6</f>
        <v/>
      </c>
      <c r="D21" s="66">
        <f>B21-C21</f>
        <v/>
      </c>
      <c r="E21" s="66">
        <f>가정!$B$9*(1+가정!$B$10)^(A21-1)</f>
        <v/>
      </c>
      <c r="F21" s="64">
        <f>D21*E21</f>
        <v/>
      </c>
      <c r="G21" s="64">
        <f>가정!$B$27*(1+가정!$B$11)^(A21-1)</f>
        <v/>
      </c>
      <c r="H21" s="64">
        <f>IF(MOD(A21,가정!$B$28)=0,가정!$B$29*(1+가정!$B$11)^A21,0)</f>
        <v/>
      </c>
      <c r="I21" s="64">
        <f>F21-G21-H21</f>
        <v/>
      </c>
      <c r="J21" s="65">
        <f>1/(1+가정!$B$12)^A21</f>
        <v/>
      </c>
      <c r="K21" s="64">
        <f>I21*J21</f>
        <v/>
      </c>
      <c r="L21" s="64">
        <f>L20+K21</f>
        <v/>
      </c>
    </row>
    <row r="22" ht="15" customHeight="1" s="45">
      <c r="A22" s="34" t="n">
        <v>18</v>
      </c>
      <c r="B22" s="66">
        <f>가정!$B$5*(1-가정!$B$7)^(A22-1)</f>
        <v/>
      </c>
      <c r="C22" s="66">
        <f>가정!$B$6</f>
        <v/>
      </c>
      <c r="D22" s="66">
        <f>B22-C22</f>
        <v/>
      </c>
      <c r="E22" s="66">
        <f>가정!$B$9*(1+가정!$B$10)^(A22-1)</f>
        <v/>
      </c>
      <c r="F22" s="64">
        <f>D22*E22</f>
        <v/>
      </c>
      <c r="G22" s="64">
        <f>가정!$B$27*(1+가정!$B$11)^(A22-1)</f>
        <v/>
      </c>
      <c r="H22" s="64">
        <f>IF(MOD(A22,가정!$B$28)=0,가정!$B$29*(1+가정!$B$11)^A22,0)</f>
        <v/>
      </c>
      <c r="I22" s="64">
        <f>F22-G22-H22</f>
        <v/>
      </c>
      <c r="J22" s="65">
        <f>1/(1+가정!$B$12)^A22</f>
        <v/>
      </c>
      <c r="K22" s="64">
        <f>I22*J22</f>
        <v/>
      </c>
      <c r="L22" s="64">
        <f>L21+K22</f>
        <v/>
      </c>
    </row>
    <row r="23" ht="15" customHeight="1" s="45">
      <c r="A23" s="34" t="n">
        <v>19</v>
      </c>
      <c r="B23" s="66">
        <f>가정!$B$5*(1-가정!$B$7)^(A23-1)</f>
        <v/>
      </c>
      <c r="C23" s="66">
        <f>가정!$B$6</f>
        <v/>
      </c>
      <c r="D23" s="66">
        <f>B23-C23</f>
        <v/>
      </c>
      <c r="E23" s="66">
        <f>가정!$B$9*(1+가정!$B$10)^(A23-1)</f>
        <v/>
      </c>
      <c r="F23" s="64">
        <f>D23*E23</f>
        <v/>
      </c>
      <c r="G23" s="64">
        <f>가정!$B$27*(1+가정!$B$11)^(A23-1)</f>
        <v/>
      </c>
      <c r="H23" s="64">
        <f>IF(MOD(A23,가정!$B$28)=0,가정!$B$29*(1+가정!$B$11)^A23,0)</f>
        <v/>
      </c>
      <c r="I23" s="64">
        <f>F23-G23-H23</f>
        <v/>
      </c>
      <c r="J23" s="65">
        <f>1/(1+가정!$B$12)^A23</f>
        <v/>
      </c>
      <c r="K23" s="64">
        <f>I23*J23</f>
        <v/>
      </c>
      <c r="L23" s="64">
        <f>L22+K23</f>
        <v/>
      </c>
    </row>
    <row r="24" ht="15" customHeight="1" s="45">
      <c r="A24" s="34" t="n">
        <v>20</v>
      </c>
      <c r="B24" s="66">
        <f>가정!$B$5*(1-가정!$B$7)^(A24-1)</f>
        <v/>
      </c>
      <c r="C24" s="66">
        <f>가정!$B$6</f>
        <v/>
      </c>
      <c r="D24" s="66">
        <f>B24-C24</f>
        <v/>
      </c>
      <c r="E24" s="66">
        <f>가정!$B$9*(1+가정!$B$10)^(A24-1)</f>
        <v/>
      </c>
      <c r="F24" s="64">
        <f>D24*E24</f>
        <v/>
      </c>
      <c r="G24" s="64">
        <f>가정!$B$27*(1+가정!$B$11)^(A24-1)</f>
        <v/>
      </c>
      <c r="H24" s="64">
        <f>IF(MOD(A24,가정!$B$28)=0,가정!$B$29*(1+가정!$B$11)^A24,0)</f>
        <v/>
      </c>
      <c r="I24" s="64">
        <f>F24-G24-H24</f>
        <v/>
      </c>
      <c r="J24" s="65">
        <f>1/(1+가정!$B$12)^A24</f>
        <v/>
      </c>
      <c r="K24" s="64">
        <f>I24*J24</f>
        <v/>
      </c>
      <c r="L24" s="64">
        <f>L23+K24</f>
        <v/>
      </c>
    </row>
    <row r="25" ht="15" customHeight="1" s="45">
      <c r="A25" s="34" t="n">
        <v>21</v>
      </c>
      <c r="B25" s="66">
        <f>가정!$B$5*(1-가정!$B$7)^(A25-1)</f>
        <v/>
      </c>
      <c r="C25" s="66">
        <f>가정!$B$6</f>
        <v/>
      </c>
      <c r="D25" s="66">
        <f>B25-C25</f>
        <v/>
      </c>
      <c r="E25" s="66">
        <f>가정!$B$9*(1+가정!$B$10)^(A25-1)</f>
        <v/>
      </c>
      <c r="F25" s="64">
        <f>D25*E25</f>
        <v/>
      </c>
      <c r="G25" s="64">
        <f>가정!$B$27*(1+가정!$B$11)^(A25-1)</f>
        <v/>
      </c>
      <c r="H25" s="64">
        <f>IF(MOD(A25,가정!$B$28)=0,가정!$B$29*(1+가정!$B$11)^A25,0)</f>
        <v/>
      </c>
      <c r="I25" s="64">
        <f>F25-G25-H25</f>
        <v/>
      </c>
      <c r="J25" s="65">
        <f>1/(1+가정!$B$12)^A25</f>
        <v/>
      </c>
      <c r="K25" s="64">
        <f>I25*J25</f>
        <v/>
      </c>
      <c r="L25" s="64">
        <f>L24+K25</f>
        <v/>
      </c>
    </row>
    <row r="26" ht="15" customHeight="1" s="45">
      <c r="A26" s="34" t="n">
        <v>22</v>
      </c>
      <c r="B26" s="66">
        <f>가정!$B$5*(1-가정!$B$7)^(A26-1)</f>
        <v/>
      </c>
      <c r="C26" s="66">
        <f>가정!$B$6</f>
        <v/>
      </c>
      <c r="D26" s="66">
        <f>B26-C26</f>
        <v/>
      </c>
      <c r="E26" s="66">
        <f>가정!$B$9*(1+가정!$B$10)^(A26-1)</f>
        <v/>
      </c>
      <c r="F26" s="64">
        <f>D26*E26</f>
        <v/>
      </c>
      <c r="G26" s="64">
        <f>가정!$B$27*(1+가정!$B$11)^(A26-1)</f>
        <v/>
      </c>
      <c r="H26" s="64">
        <f>IF(MOD(A26,가정!$B$28)=0,가정!$B$29*(1+가정!$B$11)^A26,0)</f>
        <v/>
      </c>
      <c r="I26" s="64">
        <f>F26-G26-H26</f>
        <v/>
      </c>
      <c r="J26" s="65">
        <f>1/(1+가정!$B$12)^A26</f>
        <v/>
      </c>
      <c r="K26" s="64">
        <f>I26*J26</f>
        <v/>
      </c>
      <c r="L26" s="64">
        <f>L25+K26</f>
        <v/>
      </c>
    </row>
    <row r="27" ht="15" customHeight="1" s="45">
      <c r="A27" s="34" t="n">
        <v>23</v>
      </c>
      <c r="B27" s="66">
        <f>가정!$B$5*(1-가정!$B$7)^(A27-1)</f>
        <v/>
      </c>
      <c r="C27" s="66">
        <f>가정!$B$6</f>
        <v/>
      </c>
      <c r="D27" s="66">
        <f>B27-C27</f>
        <v/>
      </c>
      <c r="E27" s="66">
        <f>가정!$B$9*(1+가정!$B$10)^(A27-1)</f>
        <v/>
      </c>
      <c r="F27" s="64">
        <f>D27*E27</f>
        <v/>
      </c>
      <c r="G27" s="64">
        <f>가정!$B$27*(1+가정!$B$11)^(A27-1)</f>
        <v/>
      </c>
      <c r="H27" s="64">
        <f>IF(MOD(A27,가정!$B$28)=0,가정!$B$29*(1+가정!$B$11)^A27,0)</f>
        <v/>
      </c>
      <c r="I27" s="64">
        <f>F27-G27-H27</f>
        <v/>
      </c>
      <c r="J27" s="65">
        <f>1/(1+가정!$B$12)^A27</f>
        <v/>
      </c>
      <c r="K27" s="64">
        <f>I27*J27</f>
        <v/>
      </c>
      <c r="L27" s="64">
        <f>L26+K27</f>
        <v/>
      </c>
    </row>
    <row r="28" ht="15" customHeight="1" s="45">
      <c r="A28" s="34" t="n">
        <v>24</v>
      </c>
      <c r="B28" s="66">
        <f>가정!$B$5*(1-가정!$B$7)^(A28-1)</f>
        <v/>
      </c>
      <c r="C28" s="66">
        <f>가정!$B$6</f>
        <v/>
      </c>
      <c r="D28" s="66">
        <f>B28-C28</f>
        <v/>
      </c>
      <c r="E28" s="66">
        <f>가정!$B$9*(1+가정!$B$10)^(A28-1)</f>
        <v/>
      </c>
      <c r="F28" s="64">
        <f>D28*E28</f>
        <v/>
      </c>
      <c r="G28" s="64">
        <f>가정!$B$27*(1+가정!$B$11)^(A28-1)</f>
        <v/>
      </c>
      <c r="H28" s="64">
        <f>IF(MOD(A28,가정!$B$28)=0,가정!$B$29*(1+가정!$B$11)^A28,0)</f>
        <v/>
      </c>
      <c r="I28" s="64">
        <f>F28-G28-H28</f>
        <v/>
      </c>
      <c r="J28" s="65">
        <f>1/(1+가정!$B$12)^A28</f>
        <v/>
      </c>
      <c r="K28" s="64">
        <f>I28*J28</f>
        <v/>
      </c>
      <c r="L28" s="64">
        <f>L27+K28</f>
        <v/>
      </c>
    </row>
    <row r="29" ht="15" customHeight="1" s="45">
      <c r="A29" s="34" t="n">
        <v>25</v>
      </c>
      <c r="B29" s="66">
        <f>가정!$B$5*(1-가정!$B$7)^(A29-1)</f>
        <v/>
      </c>
      <c r="C29" s="66">
        <f>가정!$B$6</f>
        <v/>
      </c>
      <c r="D29" s="66">
        <f>B29-C29</f>
        <v/>
      </c>
      <c r="E29" s="66">
        <f>가정!$B$9*(1+가정!$B$10)^(A29-1)</f>
        <v/>
      </c>
      <c r="F29" s="64">
        <f>D29*E29</f>
        <v/>
      </c>
      <c r="G29" s="64">
        <f>가정!$B$27*(1+가정!$B$11)^(A29-1)</f>
        <v/>
      </c>
      <c r="H29" s="64">
        <f>IF(MOD(A29,가정!$B$28)=0,가정!$B$29*(1+가정!$B$11)^A29,0)</f>
        <v/>
      </c>
      <c r="I29" s="64">
        <f>F29-G29-H29</f>
        <v/>
      </c>
      <c r="J29" s="65">
        <f>1/(1+가정!$B$12)^A29</f>
        <v/>
      </c>
      <c r="K29" s="64">
        <f>I29*J29</f>
        <v/>
      </c>
      <c r="L29" s="64">
        <f>L28+K29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zoomScaleNormal="100" workbookViewId="0">
      <selection activeCell="C13" sqref="C13"/>
    </sheetView>
  </sheetViews>
  <sheetFormatPr baseColWidth="8" defaultColWidth="8.7109375" defaultRowHeight="15"/>
  <cols>
    <col width="24" customWidth="1" style="45" min="1" max="1"/>
    <col width="16" customWidth="1" style="45" min="2" max="3"/>
  </cols>
  <sheetData>
    <row r="1" ht="19.5" customHeight="1" s="45">
      <c r="A1" s="44" t="inlineStr">
        <is>
          <t>키네틱 BIPV — 결과 요약</t>
        </is>
      </c>
    </row>
    <row r="3" ht="16.5" customHeight="1" s="45">
      <c r="A3" s="2" t="inlineStr">
        <is>
          <t>지표</t>
        </is>
      </c>
      <c r="B3" s="2" t="inlineStr">
        <is>
          <t>값</t>
        </is>
      </c>
      <c r="C3" s="2" t="inlineStr">
        <is>
          <t>단위</t>
        </is>
      </c>
    </row>
    <row r="4" ht="16.5" customHeight="1" s="45">
      <c r="A4" s="3" t="inlineStr">
        <is>
          <t>총 CAPEX</t>
        </is>
      </c>
      <c r="B4" s="55">
        <f>가정!B23</f>
        <v/>
      </c>
      <c r="C4" s="3" t="inlineStr">
        <is>
          <t>원</t>
        </is>
      </c>
    </row>
    <row r="5" ht="16.5" customHeight="1" s="45">
      <c r="A5" s="5" t="inlineStr">
        <is>
          <t>NPV (순현재가치)</t>
        </is>
      </c>
      <c r="B5" s="55">
        <f>SUM(현금흐름!K4:K29)</f>
        <v/>
      </c>
      <c r="C5" s="3" t="inlineStr">
        <is>
          <t>원</t>
        </is>
      </c>
    </row>
    <row r="6" ht="16.5" customHeight="1" s="45">
      <c r="A6" s="5" t="inlineStr">
        <is>
          <t>IRR (내부수익률)</t>
        </is>
      </c>
      <c r="B6" s="67">
        <f>IRR(현금흐름!I4:I29)</f>
        <v/>
      </c>
      <c r="C6" s="5" t="inlineStr">
        <is>
          <t>%</t>
        </is>
      </c>
    </row>
    <row r="7" ht="16.5" customHeight="1" s="45">
      <c r="A7" s="5" t="inlineStr">
        <is>
          <t>LCOE (균등화발전원가)</t>
        </is>
      </c>
      <c r="B7" s="68">
        <f>(가정!B23+SUMPRODUCT(현금흐름!G5:G29+현금흐름!H5:H29,현금흐름!J5:J29))/SUMPRODUCT(현금흐름!D5:D29,현금흐름!J5:J29)</f>
        <v/>
      </c>
      <c r="C7" s="3" t="inlineStr">
        <is>
          <t>원/kWh</t>
        </is>
      </c>
    </row>
    <row r="8" ht="15" customHeight="1" s="45">
      <c r="A8" s="3" t="inlineStr">
        <is>
          <t>할인 회수기간</t>
        </is>
      </c>
      <c r="B8" s="69">
        <f>IFERROR((COUNTIF(현금흐름!L4:L29,"&lt;0")-1)+(-INDEX(현금흐름!L4:L29,COUNTIF(현금흐름!L4:L29,"&lt;0")))/INDEX(현금흐름!K4:K29,COUNTIF(현금흐름!L4:L29,"&lt;0")+1),"25년내 미회수")</f>
        <v/>
      </c>
      <c r="C8" s="3" t="inlineStr">
        <is>
          <t>년</t>
        </is>
      </c>
    </row>
    <row r="10" ht="16.5" customHeight="1" s="45">
      <c r="A10" s="49" t="inlineStr">
        <is>
          <t>판정</t>
        </is>
      </c>
      <c r="B10" s="49">
        <f>IF(B5&gt;0,"투자가치 있음 (NPV&gt;0)","투자 부적합 (NPV&lt;0)")</f>
        <v/>
      </c>
      <c r="C10" s="42" t="n"/>
    </row>
  </sheetData>
  <mergeCells count="2">
    <mergeCell ref="A1:C1"/>
    <mergeCell ref="B10:C10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2026-06-15T08:01:20Z</dcterms:created>
  <dcterms:modified xsi:type="dcterms:W3CDTF">2026-07-13T05:27:07Z</dcterms:modified>
  <cp:lastModifiedBy>박태규</cp:lastModifiedBy>
  <cp:revision>3</cp:revision>
</cp:coreProperties>
</file>